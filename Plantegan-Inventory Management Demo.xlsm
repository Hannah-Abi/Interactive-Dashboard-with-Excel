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BA Project\"/>
    </mc:Choice>
  </mc:AlternateContent>
  <xr:revisionPtr revIDLastSave="0" documentId="13_ncr:1_{3C08B242-CFC2-4564-A332-CC21A0A9D175}" xr6:coauthVersionLast="47" xr6:coauthVersionMax="47" xr10:uidLastSave="{00000000-0000-0000-0000-000000000000}"/>
  <bookViews>
    <workbookView xWindow="28680" yWindow="-120" windowWidth="29040" windowHeight="15720" xr2:uid="{C9A77DFC-3931-4D86-AD8A-80C0E887657C}"/>
  </bookViews>
  <sheets>
    <sheet name="Inventory Management System" sheetId="5" r:id="rId1"/>
    <sheet name="Support" sheetId="4" r:id="rId2"/>
    <sheet name="Product Details" sheetId="1" r:id="rId3"/>
    <sheet name="Stock In-out" sheetId="2" r:id="rId4"/>
    <sheet name="Inventory" sheetId="3" r:id="rId5"/>
  </sheets>
  <definedNames>
    <definedName name="_xlnm._FilterDatabase" localSheetId="4" hidden="1">Inventory!$A$1:$J$51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9" i="2" l="1"/>
  <c r="H59" i="2" s="1"/>
  <c r="E59" i="2"/>
  <c r="F59" i="2" s="1"/>
  <c r="G58" i="2"/>
  <c r="H58" i="2" s="1"/>
  <c r="E58" i="2"/>
  <c r="F58" i="2" s="1"/>
  <c r="G57" i="2"/>
  <c r="H57" i="2" s="1"/>
  <c r="E57" i="2"/>
  <c r="F57" i="2" s="1"/>
  <c r="G56" i="2"/>
  <c r="H56" i="2" s="1"/>
  <c r="E56" i="2"/>
  <c r="F56" i="2" s="1"/>
  <c r="G55" i="2"/>
  <c r="H55" i="2" s="1"/>
  <c r="E55" i="2"/>
  <c r="F55" i="2" s="1"/>
  <c r="G54" i="2"/>
  <c r="H54" i="2" s="1"/>
  <c r="E54" i="2"/>
  <c r="F54" i="2" s="1"/>
  <c r="G53" i="2"/>
  <c r="H53" i="2" s="1"/>
  <c r="E53" i="2"/>
  <c r="F53" i="2" s="1"/>
  <c r="E52" i="2"/>
  <c r="F52" i="2" s="1"/>
  <c r="G52" i="2"/>
  <c r="H52" i="2" s="1"/>
  <c r="H3" i="3" l="1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2" i="3"/>
  <c r="H2" i="3"/>
  <c r="B2" i="3"/>
  <c r="D2" i="3"/>
  <c r="C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G3" i="2"/>
  <c r="H3" i="2" s="1"/>
  <c r="G4" i="2"/>
  <c r="H4" i="2" s="1"/>
  <c r="G5" i="2"/>
  <c r="H5" i="2" s="1"/>
  <c r="G6" i="2"/>
  <c r="H6" i="2" s="1"/>
  <c r="G7" i="2"/>
  <c r="H7" i="2" s="1"/>
  <c r="G8" i="2"/>
  <c r="H8" i="2" s="1"/>
  <c r="G9" i="2"/>
  <c r="H9" i="2" s="1"/>
  <c r="G10" i="2"/>
  <c r="H10" i="2" s="1"/>
  <c r="G11" i="2"/>
  <c r="H11" i="2" s="1"/>
  <c r="G12" i="2"/>
  <c r="H12" i="2" s="1"/>
  <c r="G13" i="2"/>
  <c r="H13" i="2" s="1"/>
  <c r="G14" i="2"/>
  <c r="H14" i="2" s="1"/>
  <c r="G15" i="2"/>
  <c r="H15" i="2" s="1"/>
  <c r="G16" i="2"/>
  <c r="H16" i="2" s="1"/>
  <c r="G17" i="2"/>
  <c r="H17" i="2" s="1"/>
  <c r="G18" i="2"/>
  <c r="H18" i="2" s="1"/>
  <c r="G19" i="2"/>
  <c r="H19" i="2" s="1"/>
  <c r="G20" i="2"/>
  <c r="H20" i="2" s="1"/>
  <c r="G21" i="2"/>
  <c r="H21" i="2" s="1"/>
  <c r="G22" i="2"/>
  <c r="H22" i="2" s="1"/>
  <c r="G23" i="2"/>
  <c r="H23" i="2" s="1"/>
  <c r="G24" i="2"/>
  <c r="H24" i="2" s="1"/>
  <c r="G25" i="2"/>
  <c r="H25" i="2" s="1"/>
  <c r="G26" i="2"/>
  <c r="H26" i="2" s="1"/>
  <c r="G27" i="2"/>
  <c r="H27" i="2" s="1"/>
  <c r="G28" i="2"/>
  <c r="H28" i="2" s="1"/>
  <c r="G29" i="2"/>
  <c r="H29" i="2" s="1"/>
  <c r="G30" i="2"/>
  <c r="H30" i="2" s="1"/>
  <c r="G31" i="2"/>
  <c r="H31" i="2" s="1"/>
  <c r="G32" i="2"/>
  <c r="H32" i="2" s="1"/>
  <c r="G33" i="2"/>
  <c r="H33" i="2" s="1"/>
  <c r="G34" i="2"/>
  <c r="H34" i="2" s="1"/>
  <c r="G35" i="2"/>
  <c r="H35" i="2" s="1"/>
  <c r="G36" i="2"/>
  <c r="H36" i="2" s="1"/>
  <c r="G37" i="2"/>
  <c r="H37" i="2" s="1"/>
  <c r="G38" i="2"/>
  <c r="H38" i="2" s="1"/>
  <c r="G39" i="2"/>
  <c r="H39" i="2" s="1"/>
  <c r="G40" i="2"/>
  <c r="H40" i="2" s="1"/>
  <c r="G41" i="2"/>
  <c r="H41" i="2" s="1"/>
  <c r="G42" i="2"/>
  <c r="H42" i="2" s="1"/>
  <c r="G43" i="2"/>
  <c r="H43" i="2" s="1"/>
  <c r="G44" i="2"/>
  <c r="H44" i="2" s="1"/>
  <c r="G45" i="2"/>
  <c r="H45" i="2" s="1"/>
  <c r="G46" i="2"/>
  <c r="H46" i="2" s="1"/>
  <c r="G47" i="2"/>
  <c r="H47" i="2" s="1"/>
  <c r="G48" i="2"/>
  <c r="H48" i="2" s="1"/>
  <c r="G49" i="2"/>
  <c r="H49" i="2" s="1"/>
  <c r="G50" i="2"/>
  <c r="H50" i="2" s="1"/>
  <c r="G51" i="2"/>
  <c r="H51" i="2" s="1"/>
  <c r="G2" i="2"/>
  <c r="H2" i="2" s="1"/>
  <c r="E3" i="2"/>
  <c r="F3" i="2" s="1"/>
  <c r="E4" i="2"/>
  <c r="F4" i="2" s="1"/>
  <c r="E5" i="2"/>
  <c r="F5" i="2" s="1"/>
  <c r="E6" i="2"/>
  <c r="F6" i="2" s="1"/>
  <c r="E7" i="2"/>
  <c r="F7" i="2" s="1"/>
  <c r="E8" i="2"/>
  <c r="F8" i="2" s="1"/>
  <c r="E9" i="2"/>
  <c r="F9" i="2" s="1"/>
  <c r="E10" i="2"/>
  <c r="F10" i="2" s="1"/>
  <c r="E11" i="2"/>
  <c r="F11" i="2" s="1"/>
  <c r="E12" i="2"/>
  <c r="F12" i="2" s="1"/>
  <c r="E13" i="2"/>
  <c r="F13" i="2" s="1"/>
  <c r="E14" i="2"/>
  <c r="F14" i="2" s="1"/>
  <c r="E15" i="2"/>
  <c r="F15" i="2" s="1"/>
  <c r="E16" i="2"/>
  <c r="F16" i="2" s="1"/>
  <c r="E17" i="2"/>
  <c r="F17" i="2" s="1"/>
  <c r="E18" i="2"/>
  <c r="F18" i="2" s="1"/>
  <c r="E19" i="2"/>
  <c r="F19" i="2" s="1"/>
  <c r="E20" i="2"/>
  <c r="F20" i="2" s="1"/>
  <c r="E21" i="2"/>
  <c r="F21" i="2" s="1"/>
  <c r="E22" i="2"/>
  <c r="F22" i="2" s="1"/>
  <c r="E23" i="2"/>
  <c r="F23" i="2" s="1"/>
  <c r="E24" i="2"/>
  <c r="F24" i="2" s="1"/>
  <c r="E25" i="2"/>
  <c r="F25" i="2" s="1"/>
  <c r="E26" i="2"/>
  <c r="F26" i="2" s="1"/>
  <c r="E27" i="2"/>
  <c r="F27" i="2" s="1"/>
  <c r="E28" i="2"/>
  <c r="F28" i="2" s="1"/>
  <c r="E29" i="2"/>
  <c r="F29" i="2" s="1"/>
  <c r="E30" i="2"/>
  <c r="F30" i="2" s="1"/>
  <c r="E31" i="2"/>
  <c r="F31" i="2" s="1"/>
  <c r="E32" i="2"/>
  <c r="F32" i="2" s="1"/>
  <c r="E33" i="2"/>
  <c r="F33" i="2" s="1"/>
  <c r="E34" i="2"/>
  <c r="F34" i="2" s="1"/>
  <c r="E35" i="2"/>
  <c r="F35" i="2" s="1"/>
  <c r="E36" i="2"/>
  <c r="F36" i="2" s="1"/>
  <c r="E37" i="2"/>
  <c r="F37" i="2" s="1"/>
  <c r="E38" i="2"/>
  <c r="F38" i="2" s="1"/>
  <c r="E39" i="2"/>
  <c r="F39" i="2" s="1"/>
  <c r="E40" i="2"/>
  <c r="F40" i="2" s="1"/>
  <c r="E41" i="2"/>
  <c r="F41" i="2" s="1"/>
  <c r="E42" i="2"/>
  <c r="F42" i="2" s="1"/>
  <c r="E43" i="2"/>
  <c r="F43" i="2" s="1"/>
  <c r="E44" i="2"/>
  <c r="F44" i="2" s="1"/>
  <c r="E45" i="2"/>
  <c r="F45" i="2" s="1"/>
  <c r="E46" i="2"/>
  <c r="F46" i="2" s="1"/>
  <c r="E47" i="2"/>
  <c r="F47" i="2" s="1"/>
  <c r="E48" i="2"/>
  <c r="F48" i="2" s="1"/>
  <c r="E49" i="2"/>
  <c r="F49" i="2" s="1"/>
  <c r="E50" i="2"/>
  <c r="F50" i="2" s="1"/>
  <c r="E51" i="2"/>
  <c r="F51" i="2" s="1"/>
  <c r="E2" i="2"/>
  <c r="F2" i="2" s="1"/>
  <c r="E43" i="3" l="1"/>
  <c r="E35" i="3"/>
  <c r="E27" i="3"/>
  <c r="E19" i="3"/>
  <c r="G19" i="3" s="1"/>
  <c r="E11" i="3"/>
  <c r="F11" i="3" s="1"/>
  <c r="E3" i="3"/>
  <c r="F3" i="3" s="1"/>
  <c r="E49" i="3"/>
  <c r="F49" i="3" s="1"/>
  <c r="E41" i="3"/>
  <c r="I41" i="3" s="1"/>
  <c r="E33" i="3"/>
  <c r="E25" i="3"/>
  <c r="E17" i="3"/>
  <c r="E9" i="3"/>
  <c r="I9" i="3" s="1"/>
  <c r="E44" i="3"/>
  <c r="I44" i="3" s="1"/>
  <c r="E36" i="3"/>
  <c r="I36" i="3" s="1"/>
  <c r="E28" i="3"/>
  <c r="G28" i="3" s="1"/>
  <c r="E20" i="3"/>
  <c r="F20" i="3" s="1"/>
  <c r="E12" i="3"/>
  <c r="E4" i="3"/>
  <c r="G4" i="3" s="1"/>
  <c r="E46" i="3"/>
  <c r="I46" i="3" s="1"/>
  <c r="E38" i="3"/>
  <c r="G38" i="3" s="1"/>
  <c r="E30" i="3"/>
  <c r="I30" i="3" s="1"/>
  <c r="E14" i="3"/>
  <c r="I14" i="3" s="1"/>
  <c r="E6" i="3"/>
  <c r="I6" i="3" s="1"/>
  <c r="E37" i="3"/>
  <c r="G37" i="3" s="1"/>
  <c r="E29" i="3"/>
  <c r="G29" i="3" s="1"/>
  <c r="E21" i="3"/>
  <c r="G21" i="3" s="1"/>
  <c r="E13" i="3"/>
  <c r="G13" i="3" s="1"/>
  <c r="E5" i="3"/>
  <c r="I5" i="3" s="1"/>
  <c r="E51" i="3"/>
  <c r="I51" i="3" s="1"/>
  <c r="E47" i="3"/>
  <c r="G47" i="3" s="1"/>
  <c r="E31" i="3"/>
  <c r="F31" i="3" s="1"/>
  <c r="E23" i="3"/>
  <c r="I23" i="3" s="1"/>
  <c r="E7" i="3"/>
  <c r="G7" i="3" s="1"/>
  <c r="E39" i="3"/>
  <c r="I39" i="3" s="1"/>
  <c r="E48" i="3"/>
  <c r="G48" i="3" s="1"/>
  <c r="E40" i="3"/>
  <c r="I40" i="3" s="1"/>
  <c r="E32" i="3"/>
  <c r="F32" i="3" s="1"/>
  <c r="E24" i="3"/>
  <c r="F24" i="3" s="1"/>
  <c r="E16" i="3"/>
  <c r="I16" i="3" s="1"/>
  <c r="E8" i="3"/>
  <c r="G8" i="3" s="1"/>
  <c r="E45" i="3"/>
  <c r="G45" i="3" s="1"/>
  <c r="E15" i="3"/>
  <c r="G15" i="3" s="1"/>
  <c r="E50" i="3"/>
  <c r="I50" i="3" s="1"/>
  <c r="E42" i="3"/>
  <c r="G42" i="3" s="1"/>
  <c r="E34" i="3"/>
  <c r="I34" i="3" s="1"/>
  <c r="E26" i="3"/>
  <c r="G26" i="3" s="1"/>
  <c r="E18" i="3"/>
  <c r="I18" i="3" s="1"/>
  <c r="E10" i="3"/>
  <c r="I10" i="3" s="1"/>
  <c r="E22" i="3"/>
  <c r="I22" i="3" s="1"/>
  <c r="G12" i="3"/>
  <c r="F12" i="3"/>
  <c r="I12" i="3"/>
  <c r="F51" i="3"/>
  <c r="F43" i="3"/>
  <c r="I43" i="3"/>
  <c r="G43" i="3"/>
  <c r="F35" i="3"/>
  <c r="I35" i="3"/>
  <c r="G35" i="3"/>
  <c r="F27" i="3"/>
  <c r="I27" i="3"/>
  <c r="G27" i="3"/>
  <c r="F19" i="3"/>
  <c r="I19" i="3"/>
  <c r="I33" i="3"/>
  <c r="G33" i="3"/>
  <c r="F33" i="3"/>
  <c r="I25" i="3"/>
  <c r="G25" i="3"/>
  <c r="F25" i="3"/>
  <c r="I17" i="3"/>
  <c r="G17" i="3"/>
  <c r="F17" i="3"/>
  <c r="I7" i="3"/>
  <c r="E2" i="3"/>
  <c r="B5" i="4" l="1"/>
  <c r="F30" i="3"/>
  <c r="G30" i="3"/>
  <c r="F9" i="3"/>
  <c r="G31" i="3"/>
  <c r="I31" i="3"/>
  <c r="G9" i="3"/>
  <c r="G11" i="3"/>
  <c r="I11" i="3"/>
  <c r="F44" i="3"/>
  <c r="G49" i="3"/>
  <c r="I49" i="3"/>
  <c r="F16" i="3"/>
  <c r="G16" i="3"/>
  <c r="F18" i="3"/>
  <c r="G18" i="3"/>
  <c r="F28" i="3"/>
  <c r="I28" i="3"/>
  <c r="F50" i="3"/>
  <c r="G23" i="3"/>
  <c r="I20" i="3"/>
  <c r="F41" i="3"/>
  <c r="G41" i="3"/>
  <c r="G3" i="3"/>
  <c r="G20" i="3"/>
  <c r="I3" i="3"/>
  <c r="F6" i="3"/>
  <c r="G6" i="3"/>
  <c r="I8" i="3"/>
  <c r="G24" i="3"/>
  <c r="F36" i="3"/>
  <c r="F26" i="3"/>
  <c r="G36" i="3"/>
  <c r="G32" i="3"/>
  <c r="I26" i="3"/>
  <c r="G44" i="3"/>
  <c r="F14" i="3"/>
  <c r="I24" i="3"/>
  <c r="F47" i="3"/>
  <c r="I47" i="3"/>
  <c r="G51" i="3"/>
  <c r="G14" i="3"/>
  <c r="F38" i="3"/>
  <c r="F40" i="3"/>
  <c r="G40" i="3"/>
  <c r="I42" i="3"/>
  <c r="G50" i="3"/>
  <c r="F48" i="3"/>
  <c r="F5" i="3"/>
  <c r="I4" i="3"/>
  <c r="F4" i="3"/>
  <c r="G5" i="3"/>
  <c r="I38" i="3"/>
  <c r="I13" i="3"/>
  <c r="F13" i="3"/>
  <c r="F46" i="3"/>
  <c r="I48" i="3"/>
  <c r="G46" i="3"/>
  <c r="F42" i="3"/>
  <c r="F22" i="3"/>
  <c r="I29" i="3"/>
  <c r="G22" i="3"/>
  <c r="F29" i="3"/>
  <c r="I45" i="3"/>
  <c r="F45" i="3"/>
  <c r="F7" i="3"/>
  <c r="F8" i="3"/>
  <c r="F39" i="3"/>
  <c r="F10" i="3"/>
  <c r="F15" i="3"/>
  <c r="G39" i="3"/>
  <c r="I15" i="3"/>
  <c r="I21" i="3"/>
  <c r="F23" i="3"/>
  <c r="G10" i="3"/>
  <c r="F21" i="3"/>
  <c r="I37" i="3"/>
  <c r="F37" i="3"/>
  <c r="I32" i="3"/>
  <c r="F34" i="3"/>
  <c r="G34" i="3"/>
  <c r="G2" i="3"/>
  <c r="F2" i="3"/>
  <c r="B1" i="4"/>
  <c r="I2" i="3"/>
  <c r="B4" i="4" l="1"/>
  <c r="B2" i="4"/>
  <c r="B3" i="4"/>
</calcChain>
</file>

<file path=xl/sharedStrings.xml><?xml version="1.0" encoding="utf-8"?>
<sst xmlns="http://schemas.openxmlformats.org/spreadsheetml/2006/main" count="406" uniqueCount="127">
  <si>
    <t>Product Name</t>
  </si>
  <si>
    <t>Cost Per Unit</t>
  </si>
  <si>
    <t>Price Per Unit</t>
  </si>
  <si>
    <t>Drawer Number</t>
  </si>
  <si>
    <t>Re-Order Level</t>
  </si>
  <si>
    <t>Kolibrikukka</t>
  </si>
  <si>
    <t>Heteropanax</t>
  </si>
  <si>
    <t>Varjoviikuna</t>
  </si>
  <si>
    <t>Kumiviikuna 'Melany'</t>
  </si>
  <si>
    <t>Lyyraviikuna</t>
  </si>
  <si>
    <t>Seepra-alokasia</t>
  </si>
  <si>
    <t>Rungollinen banianviikuna 'Audrey'</t>
  </si>
  <si>
    <t>Rungollinen korvakeviikuna</t>
  </si>
  <si>
    <t>Kääpiösitrus rungollinen</t>
  </si>
  <si>
    <t>Siroliuska-aralia tekokasvi</t>
  </si>
  <si>
    <t>Kirjolehti</t>
  </si>
  <si>
    <t>Isogalangajuuri 'Variegata'</t>
  </si>
  <si>
    <t>Marmorimaija</t>
  </si>
  <si>
    <t>Isomaija ’Silvia’</t>
  </si>
  <si>
    <t>Viikuna 'Umbellata'</t>
  </si>
  <si>
    <t>Ihmepensas 'Petra'</t>
  </si>
  <si>
    <t>Kuristajaklusia 'Princess'</t>
  </si>
  <si>
    <t>Kumiviikuna ‘Melany’</t>
  </si>
  <si>
    <t>Laikkuvehka 'White Lime'</t>
  </si>
  <si>
    <t>Kultaköynnös amppelissa</t>
  </si>
  <si>
    <t>Pussiköynnös kirjavalehtinen</t>
  </si>
  <si>
    <t>Pussiköynnös</t>
  </si>
  <si>
    <t>Piilea amppelissa</t>
  </si>
  <si>
    <t>Kastanjasutipuu</t>
  </si>
  <si>
    <t>Anopinkieli 'Laurentii'</t>
  </si>
  <si>
    <t>Hopea-aralia ’Fabian’</t>
  </si>
  <si>
    <t>Puikkokämmekkä 'Apollon'</t>
  </si>
  <si>
    <t>Begonia 'Cane Hotspot'</t>
  </si>
  <si>
    <t>Isoleopoldinkukka</t>
  </si>
  <si>
    <t>Begonia</t>
  </si>
  <si>
    <t>Alokasia 'Lauterbachiana'</t>
  </si>
  <si>
    <t>Aaltomaija</t>
  </si>
  <si>
    <t>Täplämaija</t>
  </si>
  <si>
    <t>Tekobambu terrakottaruukussa</t>
  </si>
  <si>
    <t>Viherkasvi tekokasvi</t>
  </si>
  <si>
    <t>Size (cm)</t>
  </si>
  <si>
    <t>Tuonenkielo tekokasvi</t>
  </si>
  <si>
    <t>Jouluruusu</t>
  </si>
  <si>
    <t>Vaniljaorkidea</t>
  </si>
  <si>
    <t>Kiiltojukka</t>
  </si>
  <si>
    <t>Pylvästyräkki</t>
  </si>
  <si>
    <t>Villakko 'Peregrinus'</t>
  </si>
  <si>
    <t>Muratti</t>
  </si>
  <si>
    <t>Anopinkieli 'Black Gold'</t>
  </si>
  <si>
    <t>Helmivillakko</t>
  </si>
  <si>
    <t>Pilkkubegonia 'Maculata'</t>
  </si>
  <si>
    <t>Neulavehka</t>
  </si>
  <si>
    <t>Timanttiananas</t>
  </si>
  <si>
    <t>Alokasia 'Black Velvet'</t>
  </si>
  <si>
    <t>Anopinkieli ’Moonshine’</t>
  </si>
  <si>
    <t>Köynnösvehka 'Silver Sword'</t>
  </si>
  <si>
    <t>81-100</t>
  </si>
  <si>
    <t>81-101</t>
  </si>
  <si>
    <t>81-102</t>
  </si>
  <si>
    <t>81-103</t>
  </si>
  <si>
    <t>81-104</t>
  </si>
  <si>
    <t>81-105</t>
  </si>
  <si>
    <t>81-106</t>
  </si>
  <si>
    <t>81-107</t>
  </si>
  <si>
    <t>41-60</t>
  </si>
  <si>
    <t>41-61</t>
  </si>
  <si>
    <t>41-62</t>
  </si>
  <si>
    <t>41-63</t>
  </si>
  <si>
    <t>41-64</t>
  </si>
  <si>
    <t>41-65</t>
  </si>
  <si>
    <t>41-66</t>
  </si>
  <si>
    <t>41-67</t>
  </si>
  <si>
    <t>41-68</t>
  </si>
  <si>
    <t>41-69</t>
  </si>
  <si>
    <t>41-70</t>
  </si>
  <si>
    <t>21-40</t>
  </si>
  <si>
    <t>21-41</t>
  </si>
  <si>
    <t>21-42</t>
  </si>
  <si>
    <t>21-43</t>
  </si>
  <si>
    <t>21-44</t>
  </si>
  <si>
    <t>21-45</t>
  </si>
  <si>
    <t>21-46</t>
  </si>
  <si>
    <t>21-47</t>
  </si>
  <si>
    <t>21-48</t>
  </si>
  <si>
    <t>21-49</t>
  </si>
  <si>
    <t>21-50</t>
  </si>
  <si>
    <t>21-51</t>
  </si>
  <si>
    <t>21-52</t>
  </si>
  <si>
    <t>21-53</t>
  </si>
  <si>
    <t>21-54</t>
  </si>
  <si>
    <t>21-55</t>
  </si>
  <si>
    <t>21-56</t>
  </si>
  <si>
    <t>21-57</t>
  </si>
  <si>
    <t>21-58</t>
  </si>
  <si>
    <t>0-20</t>
  </si>
  <si>
    <t>0-21</t>
  </si>
  <si>
    <t>0-22</t>
  </si>
  <si>
    <t>0-23</t>
  </si>
  <si>
    <t>0-24</t>
  </si>
  <si>
    <t>0-25</t>
  </si>
  <si>
    <t>0-26</t>
  </si>
  <si>
    <t>0-27</t>
  </si>
  <si>
    <t>0-28</t>
  </si>
  <si>
    <t>0-29</t>
  </si>
  <si>
    <t>0-30</t>
  </si>
  <si>
    <t>0-31</t>
  </si>
  <si>
    <t>In/Out</t>
  </si>
  <si>
    <t>Date</t>
  </si>
  <si>
    <t>Qty</t>
  </si>
  <si>
    <t>Price per Unit</t>
  </si>
  <si>
    <t>Total Value</t>
  </si>
  <si>
    <t>Total Cost Value</t>
  </si>
  <si>
    <t>Opening Stock</t>
  </si>
  <si>
    <t>In</t>
  </si>
  <si>
    <t>Out</t>
  </si>
  <si>
    <t>Closing Stock</t>
  </si>
  <si>
    <t>Stock Value</t>
  </si>
  <si>
    <t>Stock Cost</t>
  </si>
  <si>
    <t>Re-order Level</t>
  </si>
  <si>
    <t>Re-Order Required</t>
  </si>
  <si>
    <t>Current Stock</t>
  </si>
  <si>
    <t xml:space="preserve">Stock Cost </t>
  </si>
  <si>
    <t>Re-Order</t>
  </si>
  <si>
    <t xml:space="preserve">Out of Stock </t>
  </si>
  <si>
    <t>Inventory Management System</t>
  </si>
  <si>
    <t>No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</si>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</sst>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* #,##0.00\ [$€-1]_-;\-* #,##0.00\ [$€-1]_-;_-* &quot;-&quot;??\ [$€-1]_-;_-@_-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3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wrapText="1"/>
    </xf>
    <xf numFmtId="0" fontId="0" fillId="0" borderId="0" xfId="0" applyAlignment="1">
      <alignment horizontal="center" wrapText="1"/>
    </xf>
    <xf numFmtId="0" fontId="5" fillId="0" borderId="0" xfId="0" applyFont="1"/>
    <xf numFmtId="164" fontId="5" fillId="3" borderId="3" xfId="0" applyNumberFormat="1" applyFont="1" applyFill="1" applyBorder="1" applyAlignment="1">
      <alignment horizontal="center" wrapText="1"/>
    </xf>
    <xf numFmtId="14" fontId="5" fillId="3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5" fillId="3" borderId="0" xfId="0" applyFont="1" applyFill="1" applyAlignment="1">
      <alignment horizontal="center" wrapText="1"/>
    </xf>
    <xf numFmtId="164" fontId="5" fillId="3" borderId="0" xfId="0" applyNumberFormat="1" applyFont="1" applyFill="1" applyAlignment="1">
      <alignment horizontal="center" wrapText="1"/>
    </xf>
    <xf numFmtId="0" fontId="5" fillId="3" borderId="4" xfId="0" applyFont="1" applyFill="1" applyBorder="1" applyAlignment="1">
      <alignment horizontal="center" wrapText="1"/>
    </xf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7">
    <dxf>
      <font>
        <sz val="10"/>
      </font>
      <fill>
        <patternFill patternType="solid">
          <fgColor indexed="64"/>
          <bgColor theme="0" tint="-4.9989318521683403E-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  <dxf>
      <font>
        <sz val="10"/>
      </font>
      <fill>
        <patternFill patternType="solid">
          <fgColor indexed="64"/>
          <bgColor theme="0" tint="-4.9989318521683403E-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  <dxf>
      <font>
        <sz val="10"/>
      </font>
      <numFmt numFmtId="164" formatCode="_-* #,##0.00\ [$€-1]_-;\-* #,##0.00\ [$€-1]_-;_-* &quot;-&quot;??\ [$€-1]_-;_-@_-"/>
      <fill>
        <patternFill patternType="solid">
          <fgColor indexed="64"/>
          <bgColor theme="0" tint="-4.9989318521683403E-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  <dxf>
      <font>
        <sz val="10"/>
      </font>
      <numFmt numFmtId="164" formatCode="_-* #,##0.00\ [$€-1]_-;\-* #,##0.00\ [$€-1]_-;_-* &quot;-&quot;??\ [$€-1]_-;_-@_-"/>
      <fill>
        <patternFill patternType="solid">
          <fgColor indexed="64"/>
          <bgColor theme="0" tint="-4.9989318521683403E-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</dxf>
    <dxf>
      <fill>
        <patternFill>
          <bgColor rgb="FF002060"/>
        </patternFill>
      </fill>
    </dxf>
  </dxfs>
  <tableStyles count="2" defaultTableStyle="TableStyleMedium2" defaultPivotStyle="PivotStyleLight16">
    <tableStyle name="Invisible" pivot="0" table="0" count="0" xr9:uid="{B0C23CDA-F572-4799-85B6-21AE13BD07EE}"/>
    <tableStyle name="Table Style 1" pivot="0" count="1" xr9:uid="{11788997-D30B-4790-BDF2-3348C0D650ED}">
      <tableStyleElement type="headerRow" dxfId="6"/>
    </tableStyle>
  </tableStyles>
  <colors>
    <mruColors>
      <color rgb="FFDD754B"/>
      <color rgb="FFDD89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895349</xdr:colOff>
      <xdr:row>3</xdr:row>
      <xdr:rowOff>36195</xdr:rowOff>
    </xdr:from>
    <xdr:to>
      <xdr:col>0</xdr:col>
      <xdr:colOff>2383154</xdr:colOff>
      <xdr:row>5</xdr:row>
      <xdr:rowOff>358140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C761A00A-0F10-F0DD-C4DC-42D55FCD3737}"/>
            </a:ext>
          </a:extLst>
        </xdr:cNvPr>
        <xdr:cNvGrpSpPr/>
      </xdr:nvGrpSpPr>
      <xdr:grpSpPr>
        <a:xfrm>
          <a:off x="895349" y="1150620"/>
          <a:ext cx="1487805" cy="683895"/>
          <a:chOff x="2002154" y="1162050"/>
          <a:chExt cx="1491615" cy="668655"/>
        </a:xfrm>
      </xdr:grpSpPr>
      <xdr:sp macro="[0]!Current_Stock" textlink="Support!B1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E45EC8ED-5C16-E90C-8781-A0BB8B2EE74C}"/>
              </a:ext>
            </a:extLst>
          </xdr:cNvPr>
          <xdr:cNvSpPr/>
        </xdr:nvSpPr>
        <xdr:spPr>
          <a:xfrm>
            <a:off x="2002154" y="1162050"/>
            <a:ext cx="1491615" cy="668655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sp macro="[0]!Current_Stock" textlink="">
        <xdr:nvSpPr>
          <xdr:cNvPr id="3" name="TextBox 2">
            <a:extLst>
              <a:ext uri="{FF2B5EF4-FFF2-40B4-BE49-F238E27FC236}">
                <a16:creationId xmlns:a16="http://schemas.microsoft.com/office/drawing/2014/main" id="{ED57E3E6-8CB6-66AD-D015-B72012EDB693}"/>
              </a:ext>
            </a:extLst>
          </xdr:cNvPr>
          <xdr:cNvSpPr txBox="1"/>
        </xdr:nvSpPr>
        <xdr:spPr>
          <a:xfrm>
            <a:off x="2085975" y="1459230"/>
            <a:ext cx="1287780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/>
              <a:t>Curent Stock</a:t>
            </a:r>
          </a:p>
        </xdr:txBody>
      </xdr:sp>
      <xdr:sp macro="[0]!Current_Stock" textlink="Support!B1">
        <xdr:nvSpPr>
          <xdr:cNvPr id="4" name="TextBox 3">
            <a:extLst>
              <a:ext uri="{FF2B5EF4-FFF2-40B4-BE49-F238E27FC236}">
                <a16:creationId xmlns:a16="http://schemas.microsoft.com/office/drawing/2014/main" id="{A599007A-B45E-4E61-BF14-B2314D47A99F}"/>
              </a:ext>
            </a:extLst>
          </xdr:cNvPr>
          <xdr:cNvSpPr txBox="1"/>
        </xdr:nvSpPr>
        <xdr:spPr>
          <a:xfrm>
            <a:off x="2196465" y="1202055"/>
            <a:ext cx="636925" cy="3390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983492B1-4780-4941-811A-E67D8FC99433}" type="TxLink">
              <a:rPr lang="en-US" sz="1600" b="1" i="0" u="none" strike="noStrike">
                <a:solidFill>
                  <a:srgbClr val="DD754B"/>
                </a:solidFill>
                <a:latin typeface="Calibri"/>
                <a:cs typeface="Calibri"/>
              </a:rPr>
              <a:pPr algn="ctr"/>
              <a:t>1584</a:t>
            </a:fld>
            <a:endParaRPr lang="en-US" sz="1600" b="1">
              <a:solidFill>
                <a:srgbClr val="DD754B"/>
              </a:solidFill>
            </a:endParaRPr>
          </a:p>
        </xdr:txBody>
      </xdr:sp>
    </xdr:grpSp>
    <xdr:clientData/>
  </xdr:twoCellAnchor>
  <xdr:twoCellAnchor editAs="absolute">
    <xdr:from>
      <xdr:col>2</xdr:col>
      <xdr:colOff>780096</xdr:colOff>
      <xdr:row>3</xdr:row>
      <xdr:rowOff>36195</xdr:rowOff>
    </xdr:from>
    <xdr:to>
      <xdr:col>3</xdr:col>
      <xdr:colOff>1008697</xdr:colOff>
      <xdr:row>5</xdr:row>
      <xdr:rowOff>358140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BBC49E1D-9574-4DB3-BA0C-009DFE931A14}"/>
            </a:ext>
          </a:extLst>
        </xdr:cNvPr>
        <xdr:cNvGrpSpPr/>
      </xdr:nvGrpSpPr>
      <xdr:grpSpPr>
        <a:xfrm>
          <a:off x="4742496" y="1150620"/>
          <a:ext cx="1657351" cy="683895"/>
          <a:chOff x="2002154" y="1162050"/>
          <a:chExt cx="1491615" cy="668655"/>
        </a:xfrm>
      </xdr:grpSpPr>
      <xdr:sp macro="" textlink="Support!B1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62E831BD-0C67-637A-D37C-F37ED707D3E7}"/>
              </a:ext>
            </a:extLst>
          </xdr:cNvPr>
          <xdr:cNvSpPr/>
        </xdr:nvSpPr>
        <xdr:spPr>
          <a:xfrm>
            <a:off x="2002154" y="1162050"/>
            <a:ext cx="1491615" cy="668655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8AAF231E-FE09-F59E-9015-59592207F17D}"/>
              </a:ext>
            </a:extLst>
          </xdr:cNvPr>
          <xdr:cNvSpPr txBox="1"/>
        </xdr:nvSpPr>
        <xdr:spPr>
          <a:xfrm>
            <a:off x="2085975" y="1459230"/>
            <a:ext cx="1287780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/>
              <a:t>Stock Cost</a:t>
            </a:r>
          </a:p>
        </xdr:txBody>
      </xdr:sp>
      <xdr:sp macro="" textlink="Support!B3">
        <xdr:nvSpPr>
          <xdr:cNvPr id="13" name="TextBox 12">
            <a:extLst>
              <a:ext uri="{FF2B5EF4-FFF2-40B4-BE49-F238E27FC236}">
                <a16:creationId xmlns:a16="http://schemas.microsoft.com/office/drawing/2014/main" id="{58CEE3BB-8180-9C4B-CB7C-0DADF09E5A71}"/>
              </a:ext>
            </a:extLst>
          </xdr:cNvPr>
          <xdr:cNvSpPr txBox="1"/>
        </xdr:nvSpPr>
        <xdr:spPr>
          <a:xfrm>
            <a:off x="2186904" y="1211635"/>
            <a:ext cx="1132844" cy="3390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F58FF40-39AB-4CF7-AAF0-70019102EAD3}" type="TxLink">
              <a:rPr lang="en-US" sz="1600" b="1" i="0" u="none" strike="noStrike">
                <a:solidFill>
                  <a:srgbClr val="DD754B"/>
                </a:solidFill>
                <a:latin typeface="Calibri"/>
                <a:cs typeface="Calibri"/>
              </a:rPr>
              <a:pPr algn="ctr"/>
              <a:t> 41,149.66 € </a:t>
            </a:fld>
            <a:endParaRPr lang="en-US" sz="1600" b="1">
              <a:solidFill>
                <a:srgbClr val="DD754B"/>
              </a:solidFill>
            </a:endParaRPr>
          </a:p>
        </xdr:txBody>
      </xdr:sp>
    </xdr:grpSp>
    <xdr:clientData/>
  </xdr:twoCellAnchor>
  <xdr:twoCellAnchor editAs="absolute">
    <xdr:from>
      <xdr:col>4</xdr:col>
      <xdr:colOff>1428</xdr:colOff>
      <xdr:row>3</xdr:row>
      <xdr:rowOff>36195</xdr:rowOff>
    </xdr:from>
    <xdr:to>
      <xdr:col>5</xdr:col>
      <xdr:colOff>111918</xdr:colOff>
      <xdr:row>5</xdr:row>
      <xdr:rowOff>358140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51ABE2B5-13D4-43BA-858C-0771CDD5A022}"/>
            </a:ext>
          </a:extLst>
        </xdr:cNvPr>
        <xdr:cNvGrpSpPr/>
      </xdr:nvGrpSpPr>
      <xdr:grpSpPr>
        <a:xfrm>
          <a:off x="6821328" y="1150620"/>
          <a:ext cx="1539240" cy="683895"/>
          <a:chOff x="2002154" y="1162050"/>
          <a:chExt cx="1491615" cy="668655"/>
        </a:xfrm>
      </xdr:grpSpPr>
      <xdr:sp macro="[0]!Reorder" textlink="Support!B1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8F68D2CC-EAAE-64BC-C433-30B2B702A7B8}"/>
              </a:ext>
            </a:extLst>
          </xdr:cNvPr>
          <xdr:cNvSpPr/>
        </xdr:nvSpPr>
        <xdr:spPr>
          <a:xfrm>
            <a:off x="2002154" y="1162050"/>
            <a:ext cx="1491615" cy="668655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sp macro="[0]!Reorder" textlink="">
        <xdr:nvSpPr>
          <xdr:cNvPr id="16" name="TextBox 15">
            <a:extLst>
              <a:ext uri="{FF2B5EF4-FFF2-40B4-BE49-F238E27FC236}">
                <a16:creationId xmlns:a16="http://schemas.microsoft.com/office/drawing/2014/main" id="{009293F7-0A72-0952-A7D5-2444D3820BBE}"/>
              </a:ext>
            </a:extLst>
          </xdr:cNvPr>
          <xdr:cNvSpPr txBox="1"/>
        </xdr:nvSpPr>
        <xdr:spPr>
          <a:xfrm>
            <a:off x="2114332" y="1449759"/>
            <a:ext cx="1287780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/>
              <a:t>Re-Order</a:t>
            </a:r>
          </a:p>
        </xdr:txBody>
      </xdr:sp>
      <xdr:sp macro="[0]!Reorder" textlink="Support!B4">
        <xdr:nvSpPr>
          <xdr:cNvPr id="17" name="TextBox 16">
            <a:extLst>
              <a:ext uri="{FF2B5EF4-FFF2-40B4-BE49-F238E27FC236}">
                <a16:creationId xmlns:a16="http://schemas.microsoft.com/office/drawing/2014/main" id="{C3491922-A895-2FEC-AE0F-709AC31CD0B0}"/>
              </a:ext>
            </a:extLst>
          </xdr:cNvPr>
          <xdr:cNvSpPr txBox="1"/>
        </xdr:nvSpPr>
        <xdr:spPr>
          <a:xfrm>
            <a:off x="2253037" y="1202055"/>
            <a:ext cx="1022985" cy="3390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7F47DF-8B97-4EDE-BF39-725F285F5300}" type="TxLink">
              <a:rPr lang="en-US" sz="1600" b="1" i="0" u="none" strike="noStrike">
                <a:solidFill>
                  <a:srgbClr val="DD754B"/>
                </a:solidFill>
                <a:latin typeface="Calibri"/>
                <a:cs typeface="Calibri"/>
              </a:rPr>
              <a:pPr algn="ctr"/>
              <a:t>2</a:t>
            </a:fld>
            <a:endParaRPr lang="en-US" sz="1600" b="1">
              <a:solidFill>
                <a:srgbClr val="DD754B"/>
              </a:solidFill>
            </a:endParaRPr>
          </a:p>
        </xdr:txBody>
      </xdr:sp>
    </xdr:grpSp>
    <xdr:clientData/>
  </xdr:twoCellAnchor>
  <xdr:twoCellAnchor editAs="absolute">
    <xdr:from>
      <xdr:col>5</xdr:col>
      <xdr:colOff>537209</xdr:colOff>
      <xdr:row>3</xdr:row>
      <xdr:rowOff>36195</xdr:rowOff>
    </xdr:from>
    <xdr:to>
      <xdr:col>6</xdr:col>
      <xdr:colOff>626744</xdr:colOff>
      <xdr:row>5</xdr:row>
      <xdr:rowOff>361950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130BFB7F-8E3A-47C6-BDFF-267274A1F5CD}"/>
            </a:ext>
          </a:extLst>
        </xdr:cNvPr>
        <xdr:cNvGrpSpPr/>
      </xdr:nvGrpSpPr>
      <xdr:grpSpPr>
        <a:xfrm>
          <a:off x="8785859" y="1150620"/>
          <a:ext cx="1508760" cy="687705"/>
          <a:chOff x="2002154" y="1162050"/>
          <a:chExt cx="1491615" cy="668655"/>
        </a:xfrm>
      </xdr:grpSpPr>
      <xdr:sp macro="[0]!Out_Of_Stock" textlink="Support!B1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7987365E-1876-6785-1616-B375DEC2F400}"/>
              </a:ext>
            </a:extLst>
          </xdr:cNvPr>
          <xdr:cNvSpPr/>
        </xdr:nvSpPr>
        <xdr:spPr>
          <a:xfrm>
            <a:off x="2002154" y="1162050"/>
            <a:ext cx="1491615" cy="668655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sp macro="[0]!Out_Of_Stock" textlink="">
        <xdr:nvSpPr>
          <xdr:cNvPr id="20" name="TextBox 19">
            <a:extLst>
              <a:ext uri="{FF2B5EF4-FFF2-40B4-BE49-F238E27FC236}">
                <a16:creationId xmlns:a16="http://schemas.microsoft.com/office/drawing/2014/main" id="{0309EF9F-36CA-DCBD-222D-AA766A8FA798}"/>
              </a:ext>
            </a:extLst>
          </xdr:cNvPr>
          <xdr:cNvSpPr txBox="1"/>
        </xdr:nvSpPr>
        <xdr:spPr>
          <a:xfrm>
            <a:off x="2114332" y="1449759"/>
            <a:ext cx="1287780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/>
              <a:t>Out Of Stock</a:t>
            </a:r>
          </a:p>
        </xdr:txBody>
      </xdr:sp>
      <xdr:sp macro="[0]!Out_Of_Stock" textlink="Support!B5">
        <xdr:nvSpPr>
          <xdr:cNvPr id="21" name="TextBox 20">
            <a:extLst>
              <a:ext uri="{FF2B5EF4-FFF2-40B4-BE49-F238E27FC236}">
                <a16:creationId xmlns:a16="http://schemas.microsoft.com/office/drawing/2014/main" id="{AC4BF412-7542-FA70-D6D0-8C4DC6375FB1}"/>
              </a:ext>
            </a:extLst>
          </xdr:cNvPr>
          <xdr:cNvSpPr txBox="1"/>
        </xdr:nvSpPr>
        <xdr:spPr>
          <a:xfrm>
            <a:off x="2253037" y="1202055"/>
            <a:ext cx="1022985" cy="3390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405220E-F68E-47C4-88C7-2A38E407A369}" type="TxLink">
              <a:rPr lang="en-US" sz="1600" b="1" i="0" u="none" strike="noStrike">
                <a:solidFill>
                  <a:srgbClr val="DD754B"/>
                </a:solidFill>
                <a:latin typeface="Calibri"/>
                <a:cs typeface="Calibri"/>
              </a:rPr>
              <a:pPr algn="ctr"/>
              <a:t>2</a:t>
            </a:fld>
            <a:endParaRPr lang="en-US" sz="1600" b="1">
              <a:solidFill>
                <a:srgbClr val="DD754B"/>
              </a:solidFill>
            </a:endParaRPr>
          </a:p>
        </xdr:txBody>
      </xdr:sp>
    </xdr:grpSp>
    <xdr:clientData/>
  </xdr:twoCellAnchor>
  <xdr:oneCellAnchor>
    <xdr:from>
      <xdr:col>0</xdr:col>
      <xdr:colOff>1581150</xdr:colOff>
      <xdr:row>3</xdr:row>
      <xdr:rowOff>95250</xdr:rowOff>
    </xdr:from>
    <xdr:ext cx="761999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3DEA76D1-AB5A-33B3-1EB6-DABC78126B5E}"/>
            </a:ext>
          </a:extLst>
        </xdr:cNvPr>
        <xdr:cNvSpPr txBox="1"/>
      </xdr:nvSpPr>
      <xdr:spPr>
        <a:xfrm>
          <a:off x="1581150" y="1209675"/>
          <a:ext cx="761999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>
              <a:solidFill>
                <a:srgbClr val="DD754B"/>
              </a:solidFill>
            </a:rPr>
            <a:t>Units</a:t>
          </a:r>
        </a:p>
      </xdr:txBody>
    </xdr:sp>
    <xdr:clientData/>
  </xdr:oneCellAnchor>
  <xdr:twoCellAnchor>
    <xdr:from>
      <xdr:col>6</xdr:col>
      <xdr:colOff>1040605</xdr:colOff>
      <xdr:row>3</xdr:row>
      <xdr:rowOff>36195</xdr:rowOff>
    </xdr:from>
    <xdr:to>
      <xdr:col>7</xdr:col>
      <xdr:colOff>1273016</xdr:colOff>
      <xdr:row>5</xdr:row>
      <xdr:rowOff>379095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717FAF6C-25FD-D5F1-FCCF-A1701A85246A}"/>
            </a:ext>
          </a:extLst>
        </xdr:cNvPr>
        <xdr:cNvGrpSpPr/>
      </xdr:nvGrpSpPr>
      <xdr:grpSpPr>
        <a:xfrm>
          <a:off x="10721815" y="1150620"/>
          <a:ext cx="1661161" cy="704850"/>
          <a:chOff x="10727846" y="1150620"/>
          <a:chExt cx="1653541" cy="704850"/>
        </a:xfrm>
      </xdr:grpSpPr>
      <xdr:sp macro="[0]!Show_Search_Frm" textlink="Support!B1">
        <xdr:nvSpPr>
          <xdr:cNvPr id="23" name="Rectangle: Rounded Corners 22">
            <a:extLst>
              <a:ext uri="{FF2B5EF4-FFF2-40B4-BE49-F238E27FC236}">
                <a16:creationId xmlns:a16="http://schemas.microsoft.com/office/drawing/2014/main" id="{866C25BA-55A7-CAB9-15FE-8A527DC1AFB3}"/>
              </a:ext>
            </a:extLst>
          </xdr:cNvPr>
          <xdr:cNvSpPr/>
        </xdr:nvSpPr>
        <xdr:spPr>
          <a:xfrm>
            <a:off x="10727846" y="1169670"/>
            <a:ext cx="1653541" cy="68580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sp macro="[0]!Show_Search_Frm" textlink="">
        <xdr:nvSpPr>
          <xdr:cNvPr id="24" name="TextBox 23">
            <a:extLst>
              <a:ext uri="{FF2B5EF4-FFF2-40B4-BE49-F238E27FC236}">
                <a16:creationId xmlns:a16="http://schemas.microsoft.com/office/drawing/2014/main" id="{DF1E9B0E-7D97-C588-3DE0-2701D57E8285}"/>
              </a:ext>
            </a:extLst>
          </xdr:cNvPr>
          <xdr:cNvSpPr txBox="1"/>
        </xdr:nvSpPr>
        <xdr:spPr>
          <a:xfrm>
            <a:off x="11449050" y="1314650"/>
            <a:ext cx="819725" cy="3729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1"/>
              <a:t>Search</a:t>
            </a:r>
          </a:p>
        </xdr:txBody>
      </xdr:sp>
      <xdr:pic macro="[0]!Show_Search_Frm">
        <xdr:nvPicPr>
          <xdr:cNvPr id="32" name="Graphic 31" descr="Folder Search with solid fill">
            <a:extLst>
              <a:ext uri="{FF2B5EF4-FFF2-40B4-BE49-F238E27FC236}">
                <a16:creationId xmlns:a16="http://schemas.microsoft.com/office/drawing/2014/main" id="{736ECDD6-91DC-BDA2-1357-805EB8F0B0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838813" y="1150620"/>
            <a:ext cx="697867" cy="702945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269557</xdr:colOff>
      <xdr:row>3</xdr:row>
      <xdr:rowOff>36195</xdr:rowOff>
    </xdr:from>
    <xdr:to>
      <xdr:col>9</xdr:col>
      <xdr:colOff>475298</xdr:colOff>
      <xdr:row>5</xdr:row>
      <xdr:rowOff>361950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320EA4E4-8946-8AFF-C674-CE6720AE005A}"/>
            </a:ext>
          </a:extLst>
        </xdr:cNvPr>
        <xdr:cNvGrpSpPr/>
      </xdr:nvGrpSpPr>
      <xdr:grpSpPr>
        <a:xfrm>
          <a:off x="12804457" y="1150620"/>
          <a:ext cx="1638301" cy="683895"/>
          <a:chOff x="12804457" y="1169670"/>
          <a:chExt cx="1638301" cy="683895"/>
        </a:xfrm>
      </xdr:grpSpPr>
      <xdr:sp macro="[0]!Show_Update_Inventory_Frm" textlink="Support!B1">
        <xdr:nvSpPr>
          <xdr:cNvPr id="27" name="Rectangle: Rounded Corners 26">
            <a:extLst>
              <a:ext uri="{FF2B5EF4-FFF2-40B4-BE49-F238E27FC236}">
                <a16:creationId xmlns:a16="http://schemas.microsoft.com/office/drawing/2014/main" id="{79C53DB9-2C02-8945-D248-7926219BBBB1}"/>
              </a:ext>
            </a:extLst>
          </xdr:cNvPr>
          <xdr:cNvSpPr/>
        </xdr:nvSpPr>
        <xdr:spPr>
          <a:xfrm>
            <a:off x="12804457" y="1169670"/>
            <a:ext cx="1638301" cy="683895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sp macro="[0]!Show_Update_Inventory_Frm" textlink="">
        <xdr:nvSpPr>
          <xdr:cNvPr id="28" name="TextBox 27">
            <a:extLst>
              <a:ext uri="{FF2B5EF4-FFF2-40B4-BE49-F238E27FC236}">
                <a16:creationId xmlns:a16="http://schemas.microsoft.com/office/drawing/2014/main" id="{E3DB4C05-5E02-5702-A615-8E31F7B8EDF3}"/>
              </a:ext>
            </a:extLst>
          </xdr:cNvPr>
          <xdr:cNvSpPr txBox="1"/>
        </xdr:nvSpPr>
        <xdr:spPr>
          <a:xfrm>
            <a:off x="13582649" y="1330263"/>
            <a:ext cx="707293" cy="3663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 b="1"/>
              <a:t>Add</a:t>
            </a:r>
          </a:p>
        </xdr:txBody>
      </xdr:sp>
      <xdr:pic macro="[0]!Show_Update_Inventory_Frm">
        <xdr:nvPicPr>
          <xdr:cNvPr id="40" name="Graphic 39" descr="Badge Follow with solid fill">
            <a:extLst>
              <a:ext uri="{FF2B5EF4-FFF2-40B4-BE49-F238E27FC236}">
                <a16:creationId xmlns:a16="http://schemas.microsoft.com/office/drawing/2014/main" id="{F3E43C79-B7FC-D59B-31FC-559527EFD0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3018111" y="1228727"/>
            <a:ext cx="606448" cy="600074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282415</xdr:colOff>
      <xdr:row>3</xdr:row>
      <xdr:rowOff>36195</xdr:rowOff>
    </xdr:from>
    <xdr:to>
      <xdr:col>2</xdr:col>
      <xdr:colOff>358615</xdr:colOff>
      <xdr:row>5</xdr:row>
      <xdr:rowOff>377190</xdr:rowOff>
    </xdr:to>
    <xdr:grpSp>
      <xdr:nvGrpSpPr>
        <xdr:cNvPr id="62" name="Group 61">
          <a:extLst>
            <a:ext uri="{FF2B5EF4-FFF2-40B4-BE49-F238E27FC236}">
              <a16:creationId xmlns:a16="http://schemas.microsoft.com/office/drawing/2014/main" id="{DBFDF05F-1568-813B-9937-35D894BCB5CB}"/>
            </a:ext>
          </a:extLst>
        </xdr:cNvPr>
        <xdr:cNvGrpSpPr/>
      </xdr:nvGrpSpPr>
      <xdr:grpSpPr>
        <a:xfrm>
          <a:off x="2810350" y="1150620"/>
          <a:ext cx="1504950" cy="702945"/>
          <a:chOff x="2002154" y="1162050"/>
          <a:chExt cx="1491615" cy="668655"/>
        </a:xfrm>
      </xdr:grpSpPr>
      <xdr:sp macro="" textlink="Support!B1">
        <xdr:nvSpPr>
          <xdr:cNvPr id="63" name="Rectangle: Rounded Corners 62">
            <a:extLst>
              <a:ext uri="{FF2B5EF4-FFF2-40B4-BE49-F238E27FC236}">
                <a16:creationId xmlns:a16="http://schemas.microsoft.com/office/drawing/2014/main" id="{7687F418-FCAF-890C-A9D2-0C6C2D9CFC3F}"/>
              </a:ext>
            </a:extLst>
          </xdr:cNvPr>
          <xdr:cNvSpPr/>
        </xdr:nvSpPr>
        <xdr:spPr>
          <a:xfrm>
            <a:off x="2002154" y="1162050"/>
            <a:ext cx="1491615" cy="668655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sp macro="" textlink="">
        <xdr:nvSpPr>
          <xdr:cNvPr id="64" name="TextBox 63">
            <a:extLst>
              <a:ext uri="{FF2B5EF4-FFF2-40B4-BE49-F238E27FC236}">
                <a16:creationId xmlns:a16="http://schemas.microsoft.com/office/drawing/2014/main" id="{E85C12C1-2E8B-130D-F52F-AB5306803B33}"/>
              </a:ext>
            </a:extLst>
          </xdr:cNvPr>
          <xdr:cNvSpPr txBox="1"/>
        </xdr:nvSpPr>
        <xdr:spPr>
          <a:xfrm>
            <a:off x="2085975" y="1459230"/>
            <a:ext cx="1287780" cy="3619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/>
              <a:t>Stock Value</a:t>
            </a:r>
          </a:p>
        </xdr:txBody>
      </xdr:sp>
      <xdr:sp macro="" textlink="Support!B2">
        <xdr:nvSpPr>
          <xdr:cNvPr id="65" name="TextBox 64">
            <a:extLst>
              <a:ext uri="{FF2B5EF4-FFF2-40B4-BE49-F238E27FC236}">
                <a16:creationId xmlns:a16="http://schemas.microsoft.com/office/drawing/2014/main" id="{21B9F829-E0F8-0AA4-DE51-CE2D088C3C66}"/>
              </a:ext>
            </a:extLst>
          </xdr:cNvPr>
          <xdr:cNvSpPr txBox="1"/>
        </xdr:nvSpPr>
        <xdr:spPr>
          <a:xfrm>
            <a:off x="2147120" y="1202055"/>
            <a:ext cx="1243648" cy="3390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B2666E3-55AC-4C05-B851-A40558DBE84E}" type="TxLink">
              <a:rPr lang="en-US" sz="1600" b="1" i="0" u="none" strike="noStrike">
                <a:solidFill>
                  <a:srgbClr val="DD754B"/>
                </a:solidFill>
                <a:latin typeface="Calibri"/>
                <a:cs typeface="Calibri"/>
              </a:rPr>
              <a:pPr algn="ctr"/>
              <a:t> 60,474.16 € </a:t>
            </a:fld>
            <a:endParaRPr lang="en-US" sz="1600" b="1">
              <a:solidFill>
                <a:srgbClr val="DD754B"/>
              </a:solidFill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CAD826-259F-47F4-A504-7C29F57B049B}" name="Table1" displayName="Table1" ref="A1:F51" totalsRowShown="0" headerRowDxfId="5">
  <autoFilter ref="A1:F51" xr:uid="{EECAD826-259F-47F4-A504-7C29F57B049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A859457E-9DBD-4BC6-A6F2-0DA6518CA271}" name="Product Name" dataDxfId="4" dataCellStyle="Hyperlink"/>
    <tableColumn id="2" xr3:uid="{834B468D-1028-4D86-BA26-048CC6A0C73C}" name="Cost Per Unit" dataDxfId="3"/>
    <tableColumn id="3" xr3:uid="{3CEEB947-3C24-4079-B648-52F72E68F644}" name="Price Per Unit" dataDxfId="2"/>
    <tableColumn id="4" xr3:uid="{EB5F3118-9BA4-46F1-B0B5-443391C53436}" name="Size (cm)"/>
    <tableColumn id="5" xr3:uid="{6E79ED1A-8FBF-4E53-AA0F-37FC8D66D77D}" name="Drawer Number" dataDxfId="1"/>
    <tableColumn id="6" xr3:uid="{1AFFE8A4-274A-4801-942E-3744FA084BFC}" name="Re-Order Level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plantagen.fi/isomaija-%E2%80%99silvia%E2%80%99-korkeus-80-cm-vihrea-517408.html" TargetMode="External"/><Relationship Id="rId18" Type="http://schemas.openxmlformats.org/officeDocument/2006/relationships/hyperlink" Target="https://www.plantagen.fi/laikkuvehka-white-lime-korkeus-40-cm-vihrea-547516.html" TargetMode="External"/><Relationship Id="rId26" Type="http://schemas.openxmlformats.org/officeDocument/2006/relationships/hyperlink" Target="https://www.plantagen.fi/puikkokammekka-apollon-korkeus-50-cm-valkoinen-520993.html" TargetMode="External"/><Relationship Id="rId39" Type="http://schemas.openxmlformats.org/officeDocument/2006/relationships/hyperlink" Target="https://www.plantagen.fi/pylvastyrakki-korkeus-40-cm-vihrea-534944.html" TargetMode="External"/><Relationship Id="rId21" Type="http://schemas.openxmlformats.org/officeDocument/2006/relationships/hyperlink" Target="https://www.plantagen.fi/pussikoynnos-korkeus-40-cm-vihrea-541018.html" TargetMode="External"/><Relationship Id="rId34" Type="http://schemas.openxmlformats.org/officeDocument/2006/relationships/hyperlink" Target="https://www.plantagen.fi/viherkasvi-tekokasvi-korkeus-39-cm-useita-vareja-2288003.html" TargetMode="External"/><Relationship Id="rId42" Type="http://schemas.openxmlformats.org/officeDocument/2006/relationships/hyperlink" Target="https://www.plantagen.fi/anopinkieli-black-gold-korkeus-35-cm-vihrea-510886.html" TargetMode="External"/><Relationship Id="rId47" Type="http://schemas.openxmlformats.org/officeDocument/2006/relationships/hyperlink" Target="https://www.plantagen.fi/alokasia-black-velvet-korkeus-25-cm-vihrea-534962.html" TargetMode="External"/><Relationship Id="rId50" Type="http://schemas.openxmlformats.org/officeDocument/2006/relationships/printerSettings" Target="../printerSettings/printerSettings1.bin"/><Relationship Id="rId7" Type="http://schemas.openxmlformats.org/officeDocument/2006/relationships/hyperlink" Target="https://www.plantagen.fi/rungollinen-korvakeviikuna-korkeus-135-cm-vihrea-541031.html" TargetMode="External"/><Relationship Id="rId2" Type="http://schemas.openxmlformats.org/officeDocument/2006/relationships/hyperlink" Target="https://www.plantagen.fi/varjoviikuna-korkeus-80-cm-vihrea-534979.html" TargetMode="External"/><Relationship Id="rId16" Type="http://schemas.openxmlformats.org/officeDocument/2006/relationships/hyperlink" Target="https://www.plantagen.fi/kuristajaklusia-princess-korkeus-40-cm-vihrea-525272.html" TargetMode="External"/><Relationship Id="rId29" Type="http://schemas.openxmlformats.org/officeDocument/2006/relationships/hyperlink" Target="https://www.plantagen.fi/begonia-korkeus-30-cm-vihrea-530496.html" TargetMode="External"/><Relationship Id="rId11" Type="http://schemas.openxmlformats.org/officeDocument/2006/relationships/hyperlink" Target="https://www.plantagen.fi/isogalangajuuri-variegata-korkeus-65-cm-vihrea-544451.html" TargetMode="External"/><Relationship Id="rId24" Type="http://schemas.openxmlformats.org/officeDocument/2006/relationships/hyperlink" Target="https://www.plantagen.fi/anopinkieli-laurentii-korkeus-65-cm-vihrea-530547.html" TargetMode="External"/><Relationship Id="rId32" Type="http://schemas.openxmlformats.org/officeDocument/2006/relationships/hyperlink" Target="https://www.plantagen.fi/taplamaija-korkeus-50-cm-vihrea-530528.html" TargetMode="External"/><Relationship Id="rId37" Type="http://schemas.openxmlformats.org/officeDocument/2006/relationships/hyperlink" Target="https://www.plantagen.fi/vaniljaorkidea-korkeus-45-cm-vihrea-534953.html" TargetMode="External"/><Relationship Id="rId40" Type="http://schemas.openxmlformats.org/officeDocument/2006/relationships/hyperlink" Target="https://www.plantagen.fi/villakko-peregrinus-korkeus-60-cm-vihrea-544867.html" TargetMode="External"/><Relationship Id="rId45" Type="http://schemas.openxmlformats.org/officeDocument/2006/relationships/hyperlink" Target="https://www.plantagen.fi/neulavehka-korkeus-30-cm-vihrea-530488.html" TargetMode="External"/><Relationship Id="rId5" Type="http://schemas.openxmlformats.org/officeDocument/2006/relationships/hyperlink" Target="https://www.plantagen.fi/seepra-alokasia-korkeus-100-cm-vihrea-510478.html" TargetMode="External"/><Relationship Id="rId15" Type="http://schemas.openxmlformats.org/officeDocument/2006/relationships/hyperlink" Target="https://www.plantagen.fi/ihmepensas-petra-korkeus-60-cm-viininpunainen-530530.html" TargetMode="External"/><Relationship Id="rId23" Type="http://schemas.openxmlformats.org/officeDocument/2006/relationships/hyperlink" Target="https://www.plantagen.fi/kastanjasutipuu-korkeus-55-cm-vihrea-510929.html" TargetMode="External"/><Relationship Id="rId28" Type="http://schemas.openxmlformats.org/officeDocument/2006/relationships/hyperlink" Target="https://www.plantagen.fi/isoleopoldinkukka-korkeus-30-cm-keltainen-540989.html" TargetMode="External"/><Relationship Id="rId36" Type="http://schemas.openxmlformats.org/officeDocument/2006/relationships/hyperlink" Target="https://www.plantagen.fi/jouluruusu-%C3%B815-cm-monivarinen-521252.html" TargetMode="External"/><Relationship Id="rId49" Type="http://schemas.openxmlformats.org/officeDocument/2006/relationships/hyperlink" Target="https://www.plantagen.fi/koynnosvehka-silver-sword-korkeus-25-cm-vihrea-545786.html" TargetMode="External"/><Relationship Id="rId10" Type="http://schemas.openxmlformats.org/officeDocument/2006/relationships/hyperlink" Target="https://www.plantagen.fi/kirjolehti-korkeus-45-cm-useita-vareja-535023.html" TargetMode="External"/><Relationship Id="rId19" Type="http://schemas.openxmlformats.org/officeDocument/2006/relationships/hyperlink" Target="https://www.plantagen.fi/kultakoynnos-amppelissa-korkeus-40-cm-vihrea-530486.html" TargetMode="External"/><Relationship Id="rId31" Type="http://schemas.openxmlformats.org/officeDocument/2006/relationships/hyperlink" Target="https://www.plantagen.fi/aaltomaija-korkeus-55-cm-vihrea-530526.html" TargetMode="External"/><Relationship Id="rId44" Type="http://schemas.openxmlformats.org/officeDocument/2006/relationships/hyperlink" Target="https://www.plantagen.fi/pilkkubegonia-maculata-korkeus-25-cm-vihrea-514925.html" TargetMode="External"/><Relationship Id="rId4" Type="http://schemas.openxmlformats.org/officeDocument/2006/relationships/hyperlink" Target="https://www.plantagen.fi/lyyraviikuna-korkeus-150-cm-vihrea-516845.html" TargetMode="External"/><Relationship Id="rId9" Type="http://schemas.openxmlformats.org/officeDocument/2006/relationships/hyperlink" Target="https://www.plantagen.fi/siroliuska-aralia-tekokasvi-korkeus-75-cm-vihrea-2408500.html" TargetMode="External"/><Relationship Id="rId14" Type="http://schemas.openxmlformats.org/officeDocument/2006/relationships/hyperlink" Target="https://www.plantagen.fi/viikuna-umbellata-korkeus-75-cm-vihrea-541043.html" TargetMode="External"/><Relationship Id="rId22" Type="http://schemas.openxmlformats.org/officeDocument/2006/relationships/hyperlink" Target="https://www.plantagen.fi/piilea-amppelissa-korkeus-20-cm-vihrea-530501.html" TargetMode="External"/><Relationship Id="rId27" Type="http://schemas.openxmlformats.org/officeDocument/2006/relationships/hyperlink" Target="https://www.plantagen.fi/begonia-cane-hotspot-korkeus-35-cm-vihrea-534960.html" TargetMode="External"/><Relationship Id="rId30" Type="http://schemas.openxmlformats.org/officeDocument/2006/relationships/hyperlink" Target="https://www.plantagen.fi/alokasia-lauterbachiana-korkeus-60-cm-vihrea-540985.html" TargetMode="External"/><Relationship Id="rId35" Type="http://schemas.openxmlformats.org/officeDocument/2006/relationships/hyperlink" Target="https://www.plantagen.fi/tuonenkielo-tekokasvi-pituus-67-cm-vihrea-532126.html" TargetMode="External"/><Relationship Id="rId43" Type="http://schemas.openxmlformats.org/officeDocument/2006/relationships/hyperlink" Target="https://www.plantagen.fi/helmivillakko-korkeus-20-25-cm-vihrea-544868.html" TargetMode="External"/><Relationship Id="rId48" Type="http://schemas.openxmlformats.org/officeDocument/2006/relationships/hyperlink" Target="https://www.plantagen.fi/anopinkieli-%E2%80%99moonshine%E2%80%99-korkeus-30-cm-vihrea-541081.html" TargetMode="External"/><Relationship Id="rId8" Type="http://schemas.openxmlformats.org/officeDocument/2006/relationships/hyperlink" Target="https://www.plantagen.fi/kaapiositrus-rungollinen-%C3%B819-cm-oranssi-510485.html" TargetMode="External"/><Relationship Id="rId51" Type="http://schemas.openxmlformats.org/officeDocument/2006/relationships/table" Target="../tables/table1.xml"/><Relationship Id="rId3" Type="http://schemas.openxmlformats.org/officeDocument/2006/relationships/hyperlink" Target="https://www.plantagen.fi/kumiviikuna-melany-korkeus-70-cm-vihrea-530481.html" TargetMode="External"/><Relationship Id="rId12" Type="http://schemas.openxmlformats.org/officeDocument/2006/relationships/hyperlink" Target="https://www.plantagen.fi/marmorimaija-korkeus-65-cm-vihrea-517407.html" TargetMode="External"/><Relationship Id="rId17" Type="http://schemas.openxmlformats.org/officeDocument/2006/relationships/hyperlink" Target="https://www.plantagen.fi/kumiviikuna-%E2%80%98melany%E2%80%99-korkeus-60-cm-vihrea-541034.html" TargetMode="External"/><Relationship Id="rId25" Type="http://schemas.openxmlformats.org/officeDocument/2006/relationships/hyperlink" Target="https://www.plantagen.fi/hopea-aralia-%E2%80%99fabian%E2%80%99-korkeus-60-cm-vihrea-530545.html" TargetMode="External"/><Relationship Id="rId33" Type="http://schemas.openxmlformats.org/officeDocument/2006/relationships/hyperlink" Target="https://www.plantagen.fi/tekobambu-terrakottaruukussa-korkeus-46-cm-vihrea-2443990.html" TargetMode="External"/><Relationship Id="rId38" Type="http://schemas.openxmlformats.org/officeDocument/2006/relationships/hyperlink" Target="https://www.plantagen.fi/kiiltojukka-korkeus-60-cm-vihrea-521039.html" TargetMode="External"/><Relationship Id="rId46" Type="http://schemas.openxmlformats.org/officeDocument/2006/relationships/hyperlink" Target="https://www.plantagen.fi/timanttiananas-korkeus-40-cm-monivarinen-510862.html" TargetMode="External"/><Relationship Id="rId20" Type="http://schemas.openxmlformats.org/officeDocument/2006/relationships/hyperlink" Target="https://www.plantagen.fi/pussikoynnos-kirjavalehtinen-korkeus-40-cm-vihrea-541020.html" TargetMode="External"/><Relationship Id="rId41" Type="http://schemas.openxmlformats.org/officeDocument/2006/relationships/hyperlink" Target="https://www.plantagen.fi/muratti-korkeus-10-cm-vihrea-514814.html" TargetMode="External"/><Relationship Id="rId1" Type="http://schemas.openxmlformats.org/officeDocument/2006/relationships/hyperlink" Target="https://www.plantagen.fi/heteropanax-korkeus-160-cm-vihrea-541054.html" TargetMode="External"/><Relationship Id="rId6" Type="http://schemas.openxmlformats.org/officeDocument/2006/relationships/hyperlink" Target="https://www.plantagen.fi/rungollinen-banianviikuna-audrey-korkeus-130-cm-vihrea-541030.html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1BACC-29B6-4A95-A12A-3DD76FAF057E}">
  <sheetPr codeName="Sheet1"/>
  <dimension ref="A1:J57"/>
  <sheetViews>
    <sheetView showGridLines="0" tabSelected="1" zoomScaleNormal="100" workbookViewId="0">
      <selection sqref="A1:J1"/>
    </sheetView>
  </sheetViews>
  <sheetFormatPr defaultRowHeight="14.4" x14ac:dyDescent="0.3"/>
  <cols>
    <col min="1" max="1" width="37" customWidth="1"/>
    <col min="2" max="10" width="20.77734375" customWidth="1"/>
  </cols>
  <sheetData>
    <row r="1" spans="1:10" ht="59.4" customHeight="1" x14ac:dyDescent="0.3">
      <c r="A1" s="16" t="s">
        <v>124</v>
      </c>
      <c r="B1" s="16"/>
      <c r="C1" s="16"/>
      <c r="D1" s="16"/>
      <c r="E1" s="16"/>
      <c r="F1" s="16"/>
      <c r="G1" s="16"/>
      <c r="H1" s="16"/>
      <c r="I1" s="16"/>
      <c r="J1" s="16"/>
    </row>
    <row r="6" spans="1:10" ht="55.8" customHeight="1" x14ac:dyDescent="0.3"/>
    <row r="7" spans="1:10" ht="25.2" customHeight="1" x14ac:dyDescent="0.3">
      <c r="A7" s="11" t="s">
        <v>0</v>
      </c>
      <c r="B7" s="12" t="s">
        <v>112</v>
      </c>
      <c r="C7" s="12" t="s">
        <v>113</v>
      </c>
      <c r="D7" s="12" t="s">
        <v>114</v>
      </c>
      <c r="E7" s="12" t="s">
        <v>115</v>
      </c>
      <c r="F7" s="12" t="s">
        <v>116</v>
      </c>
      <c r="G7" s="12" t="s">
        <v>117</v>
      </c>
      <c r="H7" s="12" t="s">
        <v>118</v>
      </c>
      <c r="I7" s="12" t="s">
        <v>119</v>
      </c>
      <c r="J7" s="12" t="s">
        <v>3</v>
      </c>
    </row>
    <row r="8" spans="1:10" x14ac:dyDescent="0.3">
      <c r="A8" s="8" t="s">
        <v>5</v>
      </c>
      <c r="B8" s="13">
        <v>31</v>
      </c>
      <c r="C8" s="13">
        <v>0</v>
      </c>
      <c r="D8" s="13">
        <v>0</v>
      </c>
      <c r="E8" s="13">
        <v>31</v>
      </c>
      <c r="F8" s="14">
        <v>4339.6900000000005</v>
      </c>
      <c r="G8" s="14">
        <v>3130.69</v>
      </c>
      <c r="H8" s="13">
        <v>6</v>
      </c>
      <c r="I8" s="13" t="s">
        <v>125</v>
      </c>
      <c r="J8" s="13">
        <v>15</v>
      </c>
    </row>
    <row r="9" spans="1:10" ht="13.8" customHeight="1" x14ac:dyDescent="0.3">
      <c r="A9" s="8" t="s">
        <v>6</v>
      </c>
      <c r="B9" s="13">
        <v>22</v>
      </c>
      <c r="C9" s="13">
        <v>0</v>
      </c>
      <c r="D9" s="13">
        <v>0</v>
      </c>
      <c r="E9" s="13">
        <v>22</v>
      </c>
      <c r="F9" s="14">
        <v>2617.7799999999997</v>
      </c>
      <c r="G9" s="14">
        <v>2045.78</v>
      </c>
      <c r="H9" s="13">
        <v>7</v>
      </c>
      <c r="I9" s="13" t="s">
        <v>125</v>
      </c>
      <c r="J9" s="13">
        <v>3</v>
      </c>
    </row>
    <row r="10" spans="1:10" x14ac:dyDescent="0.3">
      <c r="A10" s="8" t="s">
        <v>7</v>
      </c>
      <c r="B10" s="13">
        <v>39</v>
      </c>
      <c r="C10" s="13">
        <v>0</v>
      </c>
      <c r="D10" s="13">
        <v>0</v>
      </c>
      <c r="E10" s="13">
        <v>39</v>
      </c>
      <c r="F10" s="14">
        <v>4094.6099999999997</v>
      </c>
      <c r="G10" s="14">
        <v>3353.6099999999997</v>
      </c>
      <c r="H10" s="13">
        <v>6</v>
      </c>
      <c r="I10" s="13" t="s">
        <v>125</v>
      </c>
      <c r="J10" s="13">
        <v>2</v>
      </c>
    </row>
    <row r="11" spans="1:10" x14ac:dyDescent="0.3">
      <c r="A11" s="8" t="s">
        <v>8</v>
      </c>
      <c r="B11" s="13">
        <v>30</v>
      </c>
      <c r="C11" s="13">
        <v>0</v>
      </c>
      <c r="D11" s="13">
        <v>0</v>
      </c>
      <c r="E11" s="13">
        <v>30</v>
      </c>
      <c r="F11" s="14">
        <v>1379.7</v>
      </c>
      <c r="G11" s="14">
        <v>929.69999999999993</v>
      </c>
      <c r="H11" s="13">
        <v>4</v>
      </c>
      <c r="I11" s="13" t="s">
        <v>125</v>
      </c>
      <c r="J11" s="13">
        <v>1</v>
      </c>
    </row>
    <row r="12" spans="1:10" x14ac:dyDescent="0.3">
      <c r="A12" s="8" t="s">
        <v>9</v>
      </c>
      <c r="B12" s="13">
        <v>23</v>
      </c>
      <c r="C12" s="13">
        <v>0</v>
      </c>
      <c r="D12" s="13">
        <v>0</v>
      </c>
      <c r="E12" s="13">
        <v>23</v>
      </c>
      <c r="F12" s="14">
        <v>2897.77</v>
      </c>
      <c r="G12" s="14">
        <v>2092.77</v>
      </c>
      <c r="H12" s="13">
        <v>7</v>
      </c>
      <c r="I12" s="13" t="s">
        <v>125</v>
      </c>
      <c r="J12" s="13">
        <v>3</v>
      </c>
    </row>
    <row r="13" spans="1:10" x14ac:dyDescent="0.3">
      <c r="A13" s="8" t="s">
        <v>10</v>
      </c>
      <c r="B13" s="13">
        <v>40</v>
      </c>
      <c r="C13" s="13">
        <v>0</v>
      </c>
      <c r="D13" s="13">
        <v>0</v>
      </c>
      <c r="E13" s="13">
        <v>40</v>
      </c>
      <c r="F13" s="14">
        <v>1959.6000000000001</v>
      </c>
      <c r="G13" s="14">
        <v>1319.6000000000001</v>
      </c>
      <c r="H13" s="13">
        <v>7</v>
      </c>
      <c r="I13" s="13" t="s">
        <v>125</v>
      </c>
      <c r="J13" s="13">
        <v>6</v>
      </c>
    </row>
    <row r="14" spans="1:10" x14ac:dyDescent="0.3">
      <c r="A14" s="8" t="s">
        <v>11</v>
      </c>
      <c r="B14" s="13">
        <v>39</v>
      </c>
      <c r="C14" s="13">
        <v>0</v>
      </c>
      <c r="D14" s="13">
        <v>0</v>
      </c>
      <c r="E14" s="13">
        <v>39</v>
      </c>
      <c r="F14" s="14">
        <v>4367.6099999999997</v>
      </c>
      <c r="G14" s="14">
        <v>3353.6099999999997</v>
      </c>
      <c r="H14" s="13">
        <v>7</v>
      </c>
      <c r="I14" s="13" t="s">
        <v>125</v>
      </c>
      <c r="J14" s="13">
        <v>15</v>
      </c>
    </row>
    <row r="15" spans="1:10" x14ac:dyDescent="0.3">
      <c r="A15" s="8" t="s">
        <v>12</v>
      </c>
      <c r="B15" s="13">
        <v>21</v>
      </c>
      <c r="C15" s="13">
        <v>0</v>
      </c>
      <c r="D15" s="13">
        <v>0</v>
      </c>
      <c r="E15" s="13">
        <v>21</v>
      </c>
      <c r="F15" s="14">
        <v>2351.79</v>
      </c>
      <c r="G15" s="14">
        <v>1805.79</v>
      </c>
      <c r="H15" s="13">
        <v>6</v>
      </c>
      <c r="I15" s="13" t="s">
        <v>125</v>
      </c>
      <c r="J15" s="13">
        <v>4</v>
      </c>
    </row>
    <row r="16" spans="1:10" x14ac:dyDescent="0.3">
      <c r="A16" s="8" t="s">
        <v>13</v>
      </c>
      <c r="B16" s="13">
        <v>37</v>
      </c>
      <c r="C16" s="13">
        <v>0</v>
      </c>
      <c r="D16" s="13">
        <v>0</v>
      </c>
      <c r="E16" s="13">
        <v>37</v>
      </c>
      <c r="F16" s="14">
        <v>1849.63</v>
      </c>
      <c r="G16" s="14">
        <v>1146.6299999999999</v>
      </c>
      <c r="H16" s="13">
        <v>6</v>
      </c>
      <c r="I16" s="13" t="s">
        <v>125</v>
      </c>
      <c r="J16" s="13">
        <v>5</v>
      </c>
    </row>
    <row r="17" spans="1:10" x14ac:dyDescent="0.3">
      <c r="A17" s="8" t="s">
        <v>14</v>
      </c>
      <c r="B17" s="13">
        <v>48</v>
      </c>
      <c r="C17" s="13">
        <v>0</v>
      </c>
      <c r="D17" s="13">
        <v>0</v>
      </c>
      <c r="E17" s="13">
        <v>48</v>
      </c>
      <c r="F17" s="14">
        <v>2159.52</v>
      </c>
      <c r="G17" s="14">
        <v>1367.52</v>
      </c>
      <c r="H17" s="13">
        <v>7</v>
      </c>
      <c r="I17" s="13" t="s">
        <v>125</v>
      </c>
      <c r="J17" s="13">
        <v>14</v>
      </c>
    </row>
    <row r="18" spans="1:10" x14ac:dyDescent="0.3">
      <c r="A18" s="8" t="s">
        <v>15</v>
      </c>
      <c r="B18" s="13">
        <v>33</v>
      </c>
      <c r="C18" s="13">
        <v>0</v>
      </c>
      <c r="D18" s="13">
        <v>0</v>
      </c>
      <c r="E18" s="13">
        <v>33</v>
      </c>
      <c r="F18" s="14">
        <v>1649.67</v>
      </c>
      <c r="G18" s="14">
        <v>1138.17</v>
      </c>
      <c r="H18" s="13">
        <v>8</v>
      </c>
      <c r="I18" s="13" t="s">
        <v>125</v>
      </c>
      <c r="J18" s="13">
        <v>11</v>
      </c>
    </row>
    <row r="19" spans="1:10" x14ac:dyDescent="0.3">
      <c r="A19" s="8" t="s">
        <v>16</v>
      </c>
      <c r="B19" s="13">
        <v>39</v>
      </c>
      <c r="C19" s="13">
        <v>0</v>
      </c>
      <c r="D19" s="13">
        <v>0</v>
      </c>
      <c r="E19" s="13">
        <v>39</v>
      </c>
      <c r="F19" s="14">
        <v>1832.6100000000001</v>
      </c>
      <c r="G19" s="14">
        <v>1267.1100000000001</v>
      </c>
      <c r="H19" s="13">
        <v>9</v>
      </c>
      <c r="I19" s="13" t="s">
        <v>125</v>
      </c>
      <c r="J19" s="13">
        <v>5</v>
      </c>
    </row>
    <row r="20" spans="1:10" x14ac:dyDescent="0.3">
      <c r="A20" s="8" t="s">
        <v>17</v>
      </c>
      <c r="B20" s="13">
        <v>49</v>
      </c>
      <c r="C20" s="13">
        <v>0</v>
      </c>
      <c r="D20" s="13">
        <v>0</v>
      </c>
      <c r="E20" s="13">
        <v>49</v>
      </c>
      <c r="F20" s="14">
        <v>1812.51</v>
      </c>
      <c r="G20" s="14">
        <v>1249.01</v>
      </c>
      <c r="H20" s="13">
        <v>7</v>
      </c>
      <c r="I20" s="13" t="s">
        <v>125</v>
      </c>
      <c r="J20" s="13">
        <v>5</v>
      </c>
    </row>
    <row r="21" spans="1:10" x14ac:dyDescent="0.3">
      <c r="A21" s="8" t="s">
        <v>18</v>
      </c>
      <c r="B21" s="13">
        <v>20</v>
      </c>
      <c r="C21" s="13">
        <v>0</v>
      </c>
      <c r="D21" s="13">
        <v>0</v>
      </c>
      <c r="E21" s="13">
        <v>20</v>
      </c>
      <c r="F21" s="14">
        <v>719.80000000000007</v>
      </c>
      <c r="G21" s="14">
        <v>489.79999999999995</v>
      </c>
      <c r="H21" s="13">
        <v>4</v>
      </c>
      <c r="I21" s="13" t="s">
        <v>125</v>
      </c>
      <c r="J21" s="13">
        <v>12</v>
      </c>
    </row>
    <row r="22" spans="1:10" x14ac:dyDescent="0.3">
      <c r="A22" s="8" t="s">
        <v>19</v>
      </c>
      <c r="B22" s="13">
        <v>21</v>
      </c>
      <c r="C22" s="13">
        <v>0</v>
      </c>
      <c r="D22" s="13">
        <v>0</v>
      </c>
      <c r="E22" s="13">
        <v>21</v>
      </c>
      <c r="F22" s="14">
        <v>839.79000000000008</v>
      </c>
      <c r="G22" s="14">
        <v>535.29</v>
      </c>
      <c r="H22" s="13">
        <v>9</v>
      </c>
      <c r="I22" s="13" t="s">
        <v>125</v>
      </c>
      <c r="J22" s="13">
        <v>6</v>
      </c>
    </row>
    <row r="23" spans="1:10" x14ac:dyDescent="0.3">
      <c r="A23" s="8" t="s">
        <v>20</v>
      </c>
      <c r="B23" s="13">
        <v>49</v>
      </c>
      <c r="C23" s="13">
        <v>0</v>
      </c>
      <c r="D23" s="13">
        <v>0</v>
      </c>
      <c r="E23" s="13">
        <v>49</v>
      </c>
      <c r="F23" s="14">
        <v>1616.51</v>
      </c>
      <c r="G23" s="14">
        <v>1151.01</v>
      </c>
      <c r="H23" s="13">
        <v>6</v>
      </c>
      <c r="I23" s="13" t="s">
        <v>125</v>
      </c>
      <c r="J23" s="13">
        <v>14</v>
      </c>
    </row>
    <row r="24" spans="1:10" x14ac:dyDescent="0.3">
      <c r="A24" s="8" t="s">
        <v>21</v>
      </c>
      <c r="B24" s="13">
        <v>28</v>
      </c>
      <c r="C24" s="13">
        <v>0</v>
      </c>
      <c r="D24" s="13">
        <v>28</v>
      </c>
      <c r="E24" s="13">
        <v>0</v>
      </c>
      <c r="F24" s="14">
        <v>0</v>
      </c>
      <c r="G24" s="14">
        <v>0</v>
      </c>
      <c r="H24" s="13">
        <v>7</v>
      </c>
      <c r="I24" s="13" t="s">
        <v>126</v>
      </c>
      <c r="J24" s="13">
        <v>9</v>
      </c>
    </row>
    <row r="25" spans="1:10" x14ac:dyDescent="0.3">
      <c r="A25" s="8" t="s">
        <v>22</v>
      </c>
      <c r="B25" s="13">
        <v>34</v>
      </c>
      <c r="C25" s="13">
        <v>0</v>
      </c>
      <c r="D25" s="13">
        <v>0</v>
      </c>
      <c r="E25" s="13">
        <v>34</v>
      </c>
      <c r="F25" s="14">
        <v>1359.66</v>
      </c>
      <c r="G25" s="14">
        <v>832.66</v>
      </c>
      <c r="H25" s="13">
        <v>6</v>
      </c>
      <c r="I25" s="13" t="s">
        <v>125</v>
      </c>
      <c r="J25" s="13">
        <v>5</v>
      </c>
    </row>
    <row r="26" spans="1:10" x14ac:dyDescent="0.3">
      <c r="A26" s="8" t="s">
        <v>23</v>
      </c>
      <c r="B26" s="13">
        <v>31</v>
      </c>
      <c r="C26" s="13">
        <v>0</v>
      </c>
      <c r="D26" s="13">
        <v>0</v>
      </c>
      <c r="E26" s="13">
        <v>31</v>
      </c>
      <c r="F26" s="14">
        <v>1239.69</v>
      </c>
      <c r="G26" s="14">
        <v>852.18999999999994</v>
      </c>
      <c r="H26" s="13">
        <v>4</v>
      </c>
      <c r="I26" s="13" t="s">
        <v>125</v>
      </c>
      <c r="J26" s="13">
        <v>9</v>
      </c>
    </row>
    <row r="27" spans="1:10" x14ac:dyDescent="0.3">
      <c r="A27" s="8" t="s">
        <v>24</v>
      </c>
      <c r="B27" s="13">
        <v>48</v>
      </c>
      <c r="C27" s="13">
        <v>0</v>
      </c>
      <c r="D27" s="13">
        <v>0</v>
      </c>
      <c r="E27" s="13">
        <v>48</v>
      </c>
      <c r="F27" s="14">
        <v>1391.52</v>
      </c>
      <c r="G27" s="14">
        <v>743.52</v>
      </c>
      <c r="H27" s="13">
        <v>7</v>
      </c>
      <c r="I27" s="13" t="s">
        <v>125</v>
      </c>
      <c r="J27" s="13">
        <v>7</v>
      </c>
    </row>
    <row r="28" spans="1:10" x14ac:dyDescent="0.3">
      <c r="A28" s="8" t="s">
        <v>25</v>
      </c>
      <c r="B28" s="13">
        <v>42</v>
      </c>
      <c r="C28" s="13">
        <v>0</v>
      </c>
      <c r="D28" s="13">
        <v>0</v>
      </c>
      <c r="E28" s="13">
        <v>42</v>
      </c>
      <c r="F28" s="14">
        <v>1133.58</v>
      </c>
      <c r="G28" s="14">
        <v>734.57999999999993</v>
      </c>
      <c r="H28" s="13">
        <v>7</v>
      </c>
      <c r="I28" s="13" t="s">
        <v>125</v>
      </c>
      <c r="J28" s="13">
        <v>8</v>
      </c>
    </row>
    <row r="29" spans="1:10" x14ac:dyDescent="0.3">
      <c r="A29" s="8" t="s">
        <v>26</v>
      </c>
      <c r="B29" s="13">
        <v>31</v>
      </c>
      <c r="C29" s="13">
        <v>0</v>
      </c>
      <c r="D29" s="13">
        <v>0</v>
      </c>
      <c r="E29" s="13">
        <v>31</v>
      </c>
      <c r="F29" s="14">
        <v>774.68999999999994</v>
      </c>
      <c r="G29" s="14">
        <v>542.18999999999994</v>
      </c>
      <c r="H29" s="13">
        <v>7</v>
      </c>
      <c r="I29" s="13" t="s">
        <v>125</v>
      </c>
      <c r="J29" s="13">
        <v>4</v>
      </c>
    </row>
    <row r="30" spans="1:10" x14ac:dyDescent="0.3">
      <c r="A30" s="8" t="s">
        <v>27</v>
      </c>
      <c r="B30" s="13">
        <v>29</v>
      </c>
      <c r="C30" s="13">
        <v>0</v>
      </c>
      <c r="D30" s="13">
        <v>0</v>
      </c>
      <c r="E30" s="13">
        <v>29</v>
      </c>
      <c r="F30" s="14">
        <v>840.70999999999992</v>
      </c>
      <c r="G30" s="14">
        <v>478.21</v>
      </c>
      <c r="H30" s="13">
        <v>6</v>
      </c>
      <c r="I30" s="13" t="s">
        <v>125</v>
      </c>
      <c r="J30" s="13">
        <v>11</v>
      </c>
    </row>
    <row r="31" spans="1:10" x14ac:dyDescent="0.3">
      <c r="A31" s="8" t="s">
        <v>28</v>
      </c>
      <c r="B31" s="13">
        <v>34</v>
      </c>
      <c r="C31" s="13">
        <v>0</v>
      </c>
      <c r="D31" s="13">
        <v>0</v>
      </c>
      <c r="E31" s="13">
        <v>34</v>
      </c>
      <c r="F31" s="14">
        <v>917.66</v>
      </c>
      <c r="G31" s="14">
        <v>628.66</v>
      </c>
      <c r="H31" s="13">
        <v>6</v>
      </c>
      <c r="I31" s="13" t="s">
        <v>125</v>
      </c>
      <c r="J31" s="13">
        <v>11</v>
      </c>
    </row>
    <row r="32" spans="1:10" x14ac:dyDescent="0.3">
      <c r="A32" s="8" t="s">
        <v>29</v>
      </c>
      <c r="B32" s="13">
        <v>20</v>
      </c>
      <c r="C32" s="13">
        <v>0</v>
      </c>
      <c r="D32" s="13">
        <v>0</v>
      </c>
      <c r="E32" s="13">
        <v>20</v>
      </c>
      <c r="F32" s="14">
        <v>539.79999999999995</v>
      </c>
      <c r="G32" s="14">
        <v>289.8</v>
      </c>
      <c r="H32" s="13">
        <v>7</v>
      </c>
      <c r="I32" s="13" t="s">
        <v>125</v>
      </c>
      <c r="J32" s="13">
        <v>13</v>
      </c>
    </row>
    <row r="33" spans="1:10" x14ac:dyDescent="0.3">
      <c r="A33" s="8" t="s">
        <v>30</v>
      </c>
      <c r="B33" s="13">
        <v>34</v>
      </c>
      <c r="C33" s="13">
        <v>0</v>
      </c>
      <c r="D33" s="13">
        <v>0</v>
      </c>
      <c r="E33" s="13">
        <v>34</v>
      </c>
      <c r="F33" s="14">
        <v>1019.66</v>
      </c>
      <c r="G33" s="14">
        <v>696.66</v>
      </c>
      <c r="H33" s="13">
        <v>8</v>
      </c>
      <c r="I33" s="13" t="s">
        <v>125</v>
      </c>
      <c r="J33" s="13">
        <v>12</v>
      </c>
    </row>
    <row r="34" spans="1:10" x14ac:dyDescent="0.3">
      <c r="A34" s="8" t="s">
        <v>31</v>
      </c>
      <c r="B34" s="13">
        <v>42</v>
      </c>
      <c r="C34" s="13">
        <v>0</v>
      </c>
      <c r="D34" s="13">
        <v>0</v>
      </c>
      <c r="E34" s="13">
        <v>42</v>
      </c>
      <c r="F34" s="14">
        <v>965.57999999999993</v>
      </c>
      <c r="G34" s="14">
        <v>524.58000000000004</v>
      </c>
      <c r="H34" s="13">
        <v>9</v>
      </c>
      <c r="I34" s="13" t="s">
        <v>125</v>
      </c>
      <c r="J34" s="13">
        <v>6</v>
      </c>
    </row>
    <row r="35" spans="1:10" x14ac:dyDescent="0.3">
      <c r="A35" s="8" t="s">
        <v>32</v>
      </c>
      <c r="B35" s="13">
        <v>36</v>
      </c>
      <c r="C35" s="13">
        <v>0</v>
      </c>
      <c r="D35" s="13">
        <v>0</v>
      </c>
      <c r="E35" s="13">
        <v>36</v>
      </c>
      <c r="F35" s="14">
        <v>1151.6399999999999</v>
      </c>
      <c r="G35" s="14">
        <v>737.64</v>
      </c>
      <c r="H35" s="13">
        <v>7</v>
      </c>
      <c r="I35" s="13" t="s">
        <v>125</v>
      </c>
      <c r="J35" s="13">
        <v>5</v>
      </c>
    </row>
    <row r="36" spans="1:10" x14ac:dyDescent="0.3">
      <c r="A36" s="8" t="s">
        <v>33</v>
      </c>
      <c r="B36" s="13">
        <v>40</v>
      </c>
      <c r="C36" s="13">
        <v>0</v>
      </c>
      <c r="D36" s="13">
        <v>0</v>
      </c>
      <c r="E36" s="13">
        <v>40</v>
      </c>
      <c r="F36" s="14">
        <v>1039.5999999999999</v>
      </c>
      <c r="G36" s="14">
        <v>659.59999999999991</v>
      </c>
      <c r="H36" s="13">
        <v>4</v>
      </c>
      <c r="I36" s="13" t="s">
        <v>125</v>
      </c>
      <c r="J36" s="13">
        <v>13</v>
      </c>
    </row>
    <row r="37" spans="1:10" x14ac:dyDescent="0.3">
      <c r="A37" s="8" t="s">
        <v>34</v>
      </c>
      <c r="B37" s="13">
        <v>32</v>
      </c>
      <c r="C37" s="13">
        <v>0</v>
      </c>
      <c r="D37" s="13">
        <v>0</v>
      </c>
      <c r="E37" s="13">
        <v>32</v>
      </c>
      <c r="F37" s="14">
        <v>863.68</v>
      </c>
      <c r="G37" s="14">
        <v>591.67999999999995</v>
      </c>
      <c r="H37" s="13">
        <v>9</v>
      </c>
      <c r="I37" s="13" t="s">
        <v>125</v>
      </c>
      <c r="J37" s="13">
        <v>8</v>
      </c>
    </row>
    <row r="38" spans="1:10" x14ac:dyDescent="0.3">
      <c r="A38" s="8" t="s">
        <v>35</v>
      </c>
      <c r="B38" s="13">
        <v>44</v>
      </c>
      <c r="C38" s="13">
        <v>0</v>
      </c>
      <c r="D38" s="13">
        <v>33</v>
      </c>
      <c r="E38" s="13">
        <v>11</v>
      </c>
      <c r="F38" s="14">
        <v>329.89</v>
      </c>
      <c r="G38" s="14">
        <v>225.39</v>
      </c>
      <c r="H38" s="13">
        <v>7</v>
      </c>
      <c r="I38" s="13" t="s">
        <v>125</v>
      </c>
      <c r="J38" s="13">
        <v>4</v>
      </c>
    </row>
    <row r="39" spans="1:10" x14ac:dyDescent="0.3">
      <c r="A39" s="8" t="s">
        <v>36</v>
      </c>
      <c r="B39" s="13">
        <v>39</v>
      </c>
      <c r="C39" s="13">
        <v>0</v>
      </c>
      <c r="D39" s="13">
        <v>0</v>
      </c>
      <c r="E39" s="13">
        <v>39</v>
      </c>
      <c r="F39" s="14">
        <v>1169.6099999999999</v>
      </c>
      <c r="G39" s="14">
        <v>857.6099999999999</v>
      </c>
      <c r="H39" s="13">
        <v>4</v>
      </c>
      <c r="I39" s="13" t="s">
        <v>125</v>
      </c>
      <c r="J39" s="13">
        <v>9</v>
      </c>
    </row>
    <row r="40" spans="1:10" x14ac:dyDescent="0.3">
      <c r="A40" s="8" t="s">
        <v>37</v>
      </c>
      <c r="B40" s="13">
        <v>20</v>
      </c>
      <c r="C40" s="13">
        <v>0</v>
      </c>
      <c r="D40" s="13">
        <v>0</v>
      </c>
      <c r="E40" s="13">
        <v>20</v>
      </c>
      <c r="F40" s="14">
        <v>639.79999999999995</v>
      </c>
      <c r="G40" s="14">
        <v>379.79999999999995</v>
      </c>
      <c r="H40" s="13">
        <v>9</v>
      </c>
      <c r="I40" s="13" t="s">
        <v>125</v>
      </c>
      <c r="J40" s="13">
        <v>4</v>
      </c>
    </row>
    <row r="41" spans="1:10" x14ac:dyDescent="0.3">
      <c r="A41" s="8" t="s">
        <v>38</v>
      </c>
      <c r="B41" s="13">
        <v>30</v>
      </c>
      <c r="C41" s="13">
        <v>0</v>
      </c>
      <c r="D41" s="13">
        <v>15</v>
      </c>
      <c r="E41" s="13">
        <v>15</v>
      </c>
      <c r="F41" s="14">
        <v>389.84999999999997</v>
      </c>
      <c r="G41" s="14">
        <v>254.84999999999997</v>
      </c>
      <c r="H41" s="13">
        <v>6</v>
      </c>
      <c r="I41" s="13" t="s">
        <v>125</v>
      </c>
      <c r="J41" s="13">
        <v>15</v>
      </c>
    </row>
    <row r="42" spans="1:10" x14ac:dyDescent="0.3">
      <c r="A42" s="8" t="s">
        <v>39</v>
      </c>
      <c r="B42" s="13">
        <v>21</v>
      </c>
      <c r="C42" s="13">
        <v>0</v>
      </c>
      <c r="D42" s="13">
        <v>0</v>
      </c>
      <c r="E42" s="13">
        <v>21</v>
      </c>
      <c r="F42" s="14">
        <v>692.79000000000008</v>
      </c>
      <c r="G42" s="14">
        <v>461.78999999999996</v>
      </c>
      <c r="H42" s="13">
        <v>7</v>
      </c>
      <c r="I42" s="13" t="s">
        <v>125</v>
      </c>
      <c r="J42" s="13">
        <v>4</v>
      </c>
    </row>
    <row r="43" spans="1:10" x14ac:dyDescent="0.3">
      <c r="A43" s="8" t="s">
        <v>41</v>
      </c>
      <c r="B43" s="13">
        <v>20</v>
      </c>
      <c r="C43" s="13">
        <v>0</v>
      </c>
      <c r="D43" s="13">
        <v>0</v>
      </c>
      <c r="E43" s="13">
        <v>20</v>
      </c>
      <c r="F43" s="14">
        <v>499.79999999999995</v>
      </c>
      <c r="G43" s="14">
        <v>299.8</v>
      </c>
      <c r="H43" s="13">
        <v>6</v>
      </c>
      <c r="I43" s="13" t="s">
        <v>125</v>
      </c>
      <c r="J43" s="13">
        <v>3</v>
      </c>
    </row>
    <row r="44" spans="1:10" x14ac:dyDescent="0.3">
      <c r="A44" s="8" t="s">
        <v>42</v>
      </c>
      <c r="B44" s="13">
        <v>40</v>
      </c>
      <c r="C44" s="13">
        <v>0</v>
      </c>
      <c r="D44" s="13">
        <v>0</v>
      </c>
      <c r="E44" s="13">
        <v>40</v>
      </c>
      <c r="F44" s="14">
        <v>1079.5999999999999</v>
      </c>
      <c r="G44" s="14">
        <v>579.6</v>
      </c>
      <c r="H44" s="13">
        <v>4</v>
      </c>
      <c r="I44" s="13" t="s">
        <v>125</v>
      </c>
      <c r="J44" s="13">
        <v>10</v>
      </c>
    </row>
    <row r="45" spans="1:10" x14ac:dyDescent="0.3">
      <c r="A45" s="8" t="s">
        <v>43</v>
      </c>
      <c r="B45" s="13">
        <v>24</v>
      </c>
      <c r="C45" s="13">
        <v>0</v>
      </c>
      <c r="D45" s="13">
        <v>24</v>
      </c>
      <c r="E45" s="13">
        <v>0</v>
      </c>
      <c r="F45" s="14">
        <v>0</v>
      </c>
      <c r="G45" s="14">
        <v>0</v>
      </c>
      <c r="H45" s="13">
        <v>7</v>
      </c>
      <c r="I45" s="13" t="s">
        <v>126</v>
      </c>
      <c r="J45" s="13">
        <v>12</v>
      </c>
    </row>
    <row r="46" spans="1:10" x14ac:dyDescent="0.3">
      <c r="A46" s="8" t="s">
        <v>44</v>
      </c>
      <c r="B46" s="13">
        <v>28</v>
      </c>
      <c r="C46" s="13">
        <v>0</v>
      </c>
      <c r="D46" s="13">
        <v>0</v>
      </c>
      <c r="E46" s="13">
        <v>28</v>
      </c>
      <c r="F46" s="14">
        <v>419.72</v>
      </c>
      <c r="G46" s="14">
        <v>251.72</v>
      </c>
      <c r="H46" s="13">
        <v>7</v>
      </c>
      <c r="I46" s="13" t="s">
        <v>125</v>
      </c>
      <c r="J46" s="13">
        <v>3</v>
      </c>
    </row>
    <row r="47" spans="1:10" x14ac:dyDescent="0.3">
      <c r="A47" s="8" t="s">
        <v>45</v>
      </c>
      <c r="B47" s="13">
        <v>39</v>
      </c>
      <c r="C47" s="13">
        <v>0</v>
      </c>
      <c r="D47" s="13">
        <v>0</v>
      </c>
      <c r="E47" s="13">
        <v>39</v>
      </c>
      <c r="F47" s="14">
        <v>584.61</v>
      </c>
      <c r="G47" s="14">
        <v>350.61</v>
      </c>
      <c r="H47" s="13">
        <v>7</v>
      </c>
      <c r="I47" s="13" t="s">
        <v>125</v>
      </c>
      <c r="J47" s="13">
        <v>1</v>
      </c>
    </row>
    <row r="48" spans="1:10" x14ac:dyDescent="0.3">
      <c r="A48" s="8" t="s">
        <v>46</v>
      </c>
      <c r="B48" s="13">
        <v>48</v>
      </c>
      <c r="C48" s="13">
        <v>0</v>
      </c>
      <c r="D48" s="13">
        <v>0</v>
      </c>
      <c r="E48" s="13">
        <v>48</v>
      </c>
      <c r="F48" s="14">
        <v>719.52</v>
      </c>
      <c r="G48" s="14">
        <v>383.52</v>
      </c>
      <c r="H48" s="13">
        <v>6</v>
      </c>
      <c r="I48" s="13" t="s">
        <v>125</v>
      </c>
      <c r="J48" s="13">
        <v>9</v>
      </c>
    </row>
    <row r="49" spans="1:10" x14ac:dyDescent="0.3">
      <c r="A49" s="8" t="s">
        <v>47</v>
      </c>
      <c r="B49" s="13">
        <v>39</v>
      </c>
      <c r="C49" s="13">
        <v>0</v>
      </c>
      <c r="D49" s="13">
        <v>29</v>
      </c>
      <c r="E49" s="13">
        <v>10</v>
      </c>
      <c r="F49" s="14">
        <v>169.89999999999998</v>
      </c>
      <c r="G49" s="14">
        <v>109.9</v>
      </c>
      <c r="H49" s="13">
        <v>6</v>
      </c>
      <c r="I49" s="13" t="s">
        <v>125</v>
      </c>
      <c r="J49" s="13">
        <v>6</v>
      </c>
    </row>
    <row r="50" spans="1:10" x14ac:dyDescent="0.3">
      <c r="A50" s="8" t="s">
        <v>48</v>
      </c>
      <c r="B50" s="13">
        <v>20</v>
      </c>
      <c r="C50" s="13">
        <v>0</v>
      </c>
      <c r="D50" s="13">
        <v>0</v>
      </c>
      <c r="E50" s="13">
        <v>20</v>
      </c>
      <c r="F50" s="14">
        <v>219.8</v>
      </c>
      <c r="G50" s="14">
        <v>119.80000000000001</v>
      </c>
      <c r="H50" s="13">
        <v>7</v>
      </c>
      <c r="I50" s="13" t="s">
        <v>125</v>
      </c>
      <c r="J50" s="13">
        <v>4</v>
      </c>
    </row>
    <row r="51" spans="1:10" x14ac:dyDescent="0.3">
      <c r="A51" s="8" t="s">
        <v>49</v>
      </c>
      <c r="B51" s="13">
        <v>40</v>
      </c>
      <c r="C51" s="13">
        <v>0</v>
      </c>
      <c r="D51" s="13">
        <v>0</v>
      </c>
      <c r="E51" s="13">
        <v>40</v>
      </c>
      <c r="F51" s="14">
        <v>599.6</v>
      </c>
      <c r="G51" s="14">
        <v>319.60000000000002</v>
      </c>
      <c r="H51" s="13">
        <v>6</v>
      </c>
      <c r="I51" s="13" t="s">
        <v>125</v>
      </c>
      <c r="J51" s="13">
        <v>9</v>
      </c>
    </row>
    <row r="52" spans="1:10" x14ac:dyDescent="0.3">
      <c r="A52" s="8" t="s">
        <v>50</v>
      </c>
      <c r="B52" s="13">
        <v>80</v>
      </c>
      <c r="C52" s="13">
        <v>0</v>
      </c>
      <c r="D52" s="13">
        <v>15</v>
      </c>
      <c r="E52" s="13">
        <v>65</v>
      </c>
      <c r="F52" s="14">
        <v>779.35</v>
      </c>
      <c r="G52" s="14">
        <v>324.35000000000002</v>
      </c>
      <c r="H52" s="13">
        <v>4</v>
      </c>
      <c r="I52" s="13" t="s">
        <v>125</v>
      </c>
      <c r="J52" s="13">
        <v>4</v>
      </c>
    </row>
    <row r="53" spans="1:10" x14ac:dyDescent="0.3">
      <c r="A53" s="8" t="s">
        <v>51</v>
      </c>
      <c r="B53" s="13">
        <v>39</v>
      </c>
      <c r="C53" s="13">
        <v>0</v>
      </c>
      <c r="D53" s="13">
        <v>0</v>
      </c>
      <c r="E53" s="13">
        <v>39</v>
      </c>
      <c r="F53" s="14">
        <v>662.6099999999999</v>
      </c>
      <c r="G53" s="14">
        <v>389.61</v>
      </c>
      <c r="H53" s="13">
        <v>7</v>
      </c>
      <c r="I53" s="13" t="s">
        <v>125</v>
      </c>
      <c r="J53" s="13">
        <v>15</v>
      </c>
    </row>
    <row r="54" spans="1:10" x14ac:dyDescent="0.3">
      <c r="A54" s="8" t="s">
        <v>52</v>
      </c>
      <c r="B54" s="13">
        <v>32</v>
      </c>
      <c r="C54" s="13">
        <v>0</v>
      </c>
      <c r="D54" s="13">
        <v>0</v>
      </c>
      <c r="E54" s="13">
        <v>32</v>
      </c>
      <c r="F54" s="14">
        <v>479.68</v>
      </c>
      <c r="G54" s="14">
        <v>351.68</v>
      </c>
      <c r="H54" s="13">
        <v>7</v>
      </c>
      <c r="I54" s="13" t="s">
        <v>125</v>
      </c>
      <c r="J54" s="13">
        <v>4</v>
      </c>
    </row>
    <row r="55" spans="1:10" x14ac:dyDescent="0.3">
      <c r="A55" s="8" t="s">
        <v>53</v>
      </c>
      <c r="B55" s="13">
        <v>44</v>
      </c>
      <c r="C55" s="13">
        <v>0</v>
      </c>
      <c r="D55" s="13">
        <v>0</v>
      </c>
      <c r="E55" s="13">
        <v>44</v>
      </c>
      <c r="F55" s="14">
        <v>527.56000000000006</v>
      </c>
      <c r="G55" s="14">
        <v>351.56</v>
      </c>
      <c r="H55" s="13">
        <v>7</v>
      </c>
      <c r="I55" s="13" t="s">
        <v>125</v>
      </c>
      <c r="J55" s="13">
        <v>3</v>
      </c>
    </row>
    <row r="56" spans="1:10" x14ac:dyDescent="0.3">
      <c r="A56" s="8" t="s">
        <v>54</v>
      </c>
      <c r="B56" s="13">
        <v>39</v>
      </c>
      <c r="C56" s="13">
        <v>0</v>
      </c>
      <c r="D56" s="13">
        <v>0</v>
      </c>
      <c r="E56" s="13">
        <v>39</v>
      </c>
      <c r="F56" s="14">
        <v>584.61</v>
      </c>
      <c r="G56" s="14">
        <v>350.61</v>
      </c>
      <c r="H56" s="13">
        <v>6</v>
      </c>
      <c r="I56" s="13" t="s">
        <v>125</v>
      </c>
      <c r="J56" s="13">
        <v>10</v>
      </c>
    </row>
    <row r="57" spans="1:10" x14ac:dyDescent="0.3">
      <c r="A57" s="8" t="s">
        <v>55</v>
      </c>
      <c r="B57" s="13">
        <v>20</v>
      </c>
      <c r="C57" s="13">
        <v>0</v>
      </c>
      <c r="D57" s="13">
        <v>0</v>
      </c>
      <c r="E57" s="13">
        <v>20</v>
      </c>
      <c r="F57" s="14">
        <v>199.8</v>
      </c>
      <c r="G57" s="14">
        <v>99.800000000000011</v>
      </c>
      <c r="H57" s="13">
        <v>7</v>
      </c>
      <c r="I57" s="13" t="s">
        <v>125</v>
      </c>
      <c r="J57" s="13">
        <v>6</v>
      </c>
    </row>
  </sheetData>
  <mergeCells count="1">
    <mergeCell ref="A1:J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D90C5-AB8C-428C-B9FF-1CEB3E780FD0}">
  <sheetPr codeName="Sheet2"/>
  <dimension ref="A1:B5"/>
  <sheetViews>
    <sheetView topLeftCell="A4" workbookViewId="0">
      <selection activeCell="B6" sqref="B6"/>
    </sheetView>
  </sheetViews>
  <sheetFormatPr defaultRowHeight="14.4" x14ac:dyDescent="0.3"/>
  <cols>
    <col min="1" max="1" width="12.44140625" bestFit="1" customWidth="1"/>
    <col min="2" max="2" width="12.6640625" customWidth="1"/>
  </cols>
  <sheetData>
    <row r="1" spans="1:2" x14ac:dyDescent="0.3">
      <c r="A1" t="s">
        <v>120</v>
      </c>
      <c r="B1">
        <f>SUM(Inventory!E:E)</f>
        <v>1584</v>
      </c>
    </row>
    <row r="2" spans="1:2" x14ac:dyDescent="0.3">
      <c r="A2" t="s">
        <v>116</v>
      </c>
      <c r="B2" s="2">
        <f>SUM(Inventory!F:F)</f>
        <v>60474.160000000033</v>
      </c>
    </row>
    <row r="3" spans="1:2" x14ac:dyDescent="0.3">
      <c r="A3" t="s">
        <v>121</v>
      </c>
      <c r="B3" s="2">
        <f>SUM(Inventory!G:G)</f>
        <v>41149.660000000003</v>
      </c>
    </row>
    <row r="4" spans="1:2" x14ac:dyDescent="0.3">
      <c r="A4" t="s">
        <v>122</v>
      </c>
      <c r="B4">
        <f>COUNTIF(Inventory!I:I,"Yes")</f>
        <v>2</v>
      </c>
    </row>
    <row r="5" spans="1:2" x14ac:dyDescent="0.3">
      <c r="A5" t="s">
        <v>123</v>
      </c>
      <c r="B5">
        <f>COUNTIF(Inventory!E:E,0)</f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655C5-51C0-4454-ADD5-D5C0EDF882A9}">
  <sheetPr codeName="Sheet3"/>
  <dimension ref="A1:F51"/>
  <sheetViews>
    <sheetView showGridLines="0" zoomScale="115" zoomScaleNormal="115" workbookViewId="0">
      <pane ySplit="1" topLeftCell="A11" activePane="bottomLeft" state="frozen"/>
      <selection pane="bottomLeft" activeCell="H31" sqref="H31"/>
    </sheetView>
  </sheetViews>
  <sheetFormatPr defaultRowHeight="14.4" x14ac:dyDescent="0.3"/>
  <cols>
    <col min="1" max="1" width="32.88671875" customWidth="1"/>
    <col min="2" max="2" width="13.77734375" customWidth="1"/>
    <col min="3" max="3" width="14.33203125" customWidth="1"/>
    <col min="4" max="4" width="14.5546875" bestFit="1" customWidth="1"/>
    <col min="5" max="5" width="16.44140625" customWidth="1"/>
    <col min="6" max="6" width="17.109375" customWidth="1"/>
  </cols>
  <sheetData>
    <row r="1" spans="1:6" ht="28.2" customHeight="1" x14ac:dyDescent="0.3">
      <c r="A1" s="11" t="s">
        <v>0</v>
      </c>
      <c r="B1" s="11" t="s">
        <v>1</v>
      </c>
      <c r="C1" s="11" t="s">
        <v>2</v>
      </c>
      <c r="D1" s="11" t="s">
        <v>40</v>
      </c>
      <c r="E1" s="11" t="s">
        <v>3</v>
      </c>
      <c r="F1" s="11" t="s">
        <v>4</v>
      </c>
    </row>
    <row r="2" spans="1:6" x14ac:dyDescent="0.3">
      <c r="A2" s="8" t="s">
        <v>5</v>
      </c>
      <c r="B2" s="9">
        <v>100.99</v>
      </c>
      <c r="C2" s="9">
        <v>139.99</v>
      </c>
      <c r="D2" s="6" t="s">
        <v>56</v>
      </c>
      <c r="E2" s="6">
        <v>15</v>
      </c>
      <c r="F2" s="15">
        <v>6</v>
      </c>
    </row>
    <row r="3" spans="1:6" x14ac:dyDescent="0.3">
      <c r="A3" s="8" t="s">
        <v>6</v>
      </c>
      <c r="B3" s="9">
        <v>92.99</v>
      </c>
      <c r="C3" s="9">
        <v>118.99</v>
      </c>
      <c r="D3" s="6" t="s">
        <v>57</v>
      </c>
      <c r="E3" s="6">
        <v>3</v>
      </c>
      <c r="F3" s="15">
        <v>7</v>
      </c>
    </row>
    <row r="4" spans="1:6" x14ac:dyDescent="0.3">
      <c r="A4" s="8" t="s">
        <v>7</v>
      </c>
      <c r="B4" s="9">
        <v>85.99</v>
      </c>
      <c r="C4" s="9">
        <v>104.99</v>
      </c>
      <c r="D4" s="6" t="s">
        <v>58</v>
      </c>
      <c r="E4" s="6">
        <v>2</v>
      </c>
      <c r="F4" s="15">
        <v>6</v>
      </c>
    </row>
    <row r="5" spans="1:6" x14ac:dyDescent="0.3">
      <c r="A5" s="8" t="s">
        <v>8</v>
      </c>
      <c r="B5" s="9">
        <v>30.99</v>
      </c>
      <c r="C5" s="9">
        <v>45.99</v>
      </c>
      <c r="D5" s="6" t="s">
        <v>59</v>
      </c>
      <c r="E5" s="6">
        <v>1</v>
      </c>
      <c r="F5" s="15">
        <v>4</v>
      </c>
    </row>
    <row r="6" spans="1:6" x14ac:dyDescent="0.3">
      <c r="A6" s="8" t="s">
        <v>9</v>
      </c>
      <c r="B6" s="9">
        <v>90.99</v>
      </c>
      <c r="C6" s="9">
        <v>125.99</v>
      </c>
      <c r="D6" s="6" t="s">
        <v>60</v>
      </c>
      <c r="E6" s="6">
        <v>3</v>
      </c>
      <c r="F6" s="15">
        <v>7</v>
      </c>
    </row>
    <row r="7" spans="1:6" x14ac:dyDescent="0.3">
      <c r="A7" s="8" t="s">
        <v>10</v>
      </c>
      <c r="B7" s="9">
        <v>32.99</v>
      </c>
      <c r="C7" s="9">
        <v>48.99</v>
      </c>
      <c r="D7" s="6" t="s">
        <v>61</v>
      </c>
      <c r="E7" s="6">
        <v>6</v>
      </c>
      <c r="F7" s="15">
        <v>7</v>
      </c>
    </row>
    <row r="8" spans="1:6" x14ac:dyDescent="0.3">
      <c r="A8" s="8" t="s">
        <v>11</v>
      </c>
      <c r="B8" s="9">
        <v>85.99</v>
      </c>
      <c r="C8" s="9">
        <v>111.99</v>
      </c>
      <c r="D8" s="6" t="s">
        <v>62</v>
      </c>
      <c r="E8" s="6">
        <v>15</v>
      </c>
      <c r="F8" s="15">
        <v>7</v>
      </c>
    </row>
    <row r="9" spans="1:6" x14ac:dyDescent="0.3">
      <c r="A9" s="8" t="s">
        <v>12</v>
      </c>
      <c r="B9" s="9">
        <v>85.99</v>
      </c>
      <c r="C9" s="9">
        <v>111.99</v>
      </c>
      <c r="D9" s="6" t="s">
        <v>63</v>
      </c>
      <c r="E9" s="6">
        <v>4</v>
      </c>
      <c r="F9" s="15">
        <v>6</v>
      </c>
    </row>
    <row r="10" spans="1:6" x14ac:dyDescent="0.3">
      <c r="A10" s="8" t="s">
        <v>13</v>
      </c>
      <c r="B10" s="9">
        <v>30.99</v>
      </c>
      <c r="C10" s="9">
        <v>49.99</v>
      </c>
      <c r="D10" s="6" t="s">
        <v>64</v>
      </c>
      <c r="E10" s="6">
        <v>5</v>
      </c>
      <c r="F10" s="15">
        <v>6</v>
      </c>
    </row>
    <row r="11" spans="1:6" x14ac:dyDescent="0.3">
      <c r="A11" s="8" t="s">
        <v>14</v>
      </c>
      <c r="B11" s="9">
        <v>28.49</v>
      </c>
      <c r="C11" s="9">
        <v>44.99</v>
      </c>
      <c r="D11" s="6" t="s">
        <v>65</v>
      </c>
      <c r="E11" s="6">
        <v>14</v>
      </c>
      <c r="F11" s="15">
        <v>7</v>
      </c>
    </row>
    <row r="12" spans="1:6" x14ac:dyDescent="0.3">
      <c r="A12" s="8" t="s">
        <v>15</v>
      </c>
      <c r="B12" s="9">
        <v>34.49</v>
      </c>
      <c r="C12" s="9">
        <v>49.99</v>
      </c>
      <c r="D12" s="6" t="s">
        <v>66</v>
      </c>
      <c r="E12" s="6">
        <v>11</v>
      </c>
      <c r="F12" s="15">
        <v>8</v>
      </c>
    </row>
    <row r="13" spans="1:6" x14ac:dyDescent="0.3">
      <c r="A13" s="8" t="s">
        <v>16</v>
      </c>
      <c r="B13" s="9">
        <v>32.49</v>
      </c>
      <c r="C13" s="9">
        <v>46.99</v>
      </c>
      <c r="D13" s="6" t="s">
        <v>67</v>
      </c>
      <c r="E13" s="6">
        <v>5</v>
      </c>
      <c r="F13" s="15">
        <v>9</v>
      </c>
    </row>
    <row r="14" spans="1:6" x14ac:dyDescent="0.3">
      <c r="A14" s="8" t="s">
        <v>17</v>
      </c>
      <c r="B14" s="9">
        <v>25.49</v>
      </c>
      <c r="C14" s="9">
        <v>36.99</v>
      </c>
      <c r="D14" s="6" t="s">
        <v>68</v>
      </c>
      <c r="E14" s="6">
        <v>5</v>
      </c>
      <c r="F14" s="15">
        <v>7</v>
      </c>
    </row>
    <row r="15" spans="1:6" x14ac:dyDescent="0.3">
      <c r="A15" s="8" t="s">
        <v>18</v>
      </c>
      <c r="B15" s="9">
        <v>24.49</v>
      </c>
      <c r="C15" s="9">
        <v>35.99</v>
      </c>
      <c r="D15" s="6" t="s">
        <v>69</v>
      </c>
      <c r="E15" s="6">
        <v>12</v>
      </c>
      <c r="F15" s="15">
        <v>4</v>
      </c>
    </row>
    <row r="16" spans="1:6" x14ac:dyDescent="0.3">
      <c r="A16" s="8" t="s">
        <v>19</v>
      </c>
      <c r="B16" s="9">
        <v>25.49</v>
      </c>
      <c r="C16" s="9">
        <v>39.99</v>
      </c>
      <c r="D16" s="6" t="s">
        <v>70</v>
      </c>
      <c r="E16" s="6">
        <v>6</v>
      </c>
      <c r="F16" s="15">
        <v>9</v>
      </c>
    </row>
    <row r="17" spans="1:6" x14ac:dyDescent="0.3">
      <c r="A17" s="8" t="s">
        <v>20</v>
      </c>
      <c r="B17" s="9">
        <v>23.49</v>
      </c>
      <c r="C17" s="9">
        <v>32.99</v>
      </c>
      <c r="D17" s="6" t="s">
        <v>71</v>
      </c>
      <c r="E17" s="6">
        <v>14</v>
      </c>
      <c r="F17" s="15">
        <v>6</v>
      </c>
    </row>
    <row r="18" spans="1:6" x14ac:dyDescent="0.3">
      <c r="A18" s="8" t="s">
        <v>21</v>
      </c>
      <c r="B18" s="9">
        <v>25.49</v>
      </c>
      <c r="C18" s="9">
        <v>38.99</v>
      </c>
      <c r="D18" s="6" t="s">
        <v>72</v>
      </c>
      <c r="E18" s="6">
        <v>9</v>
      </c>
      <c r="F18" s="15">
        <v>7</v>
      </c>
    </row>
    <row r="19" spans="1:6" x14ac:dyDescent="0.3">
      <c r="A19" s="8" t="s">
        <v>22</v>
      </c>
      <c r="B19" s="9">
        <v>24.49</v>
      </c>
      <c r="C19" s="9">
        <v>39.99</v>
      </c>
      <c r="D19" s="6" t="s">
        <v>73</v>
      </c>
      <c r="E19" s="6">
        <v>5</v>
      </c>
      <c r="F19" s="15">
        <v>6</v>
      </c>
    </row>
    <row r="20" spans="1:6" x14ac:dyDescent="0.3">
      <c r="A20" s="8" t="s">
        <v>23</v>
      </c>
      <c r="B20" s="9">
        <v>27.49</v>
      </c>
      <c r="C20" s="9">
        <v>39.99</v>
      </c>
      <c r="D20" s="6" t="s">
        <v>74</v>
      </c>
      <c r="E20" s="6">
        <v>9</v>
      </c>
      <c r="F20" s="15">
        <v>4</v>
      </c>
    </row>
    <row r="21" spans="1:6" x14ac:dyDescent="0.3">
      <c r="A21" s="8" t="s">
        <v>24</v>
      </c>
      <c r="B21" s="9">
        <v>15.49</v>
      </c>
      <c r="C21" s="9">
        <v>28.99</v>
      </c>
      <c r="D21" s="6" t="s">
        <v>75</v>
      </c>
      <c r="E21" s="6">
        <v>7</v>
      </c>
      <c r="F21" s="15">
        <v>7</v>
      </c>
    </row>
    <row r="22" spans="1:6" x14ac:dyDescent="0.3">
      <c r="A22" s="8" t="s">
        <v>25</v>
      </c>
      <c r="B22" s="9">
        <v>17.489999999999998</v>
      </c>
      <c r="C22" s="9">
        <v>26.99</v>
      </c>
      <c r="D22" s="6" t="s">
        <v>76</v>
      </c>
      <c r="E22" s="6">
        <v>8</v>
      </c>
      <c r="F22" s="15">
        <v>7</v>
      </c>
    </row>
    <row r="23" spans="1:6" x14ac:dyDescent="0.3">
      <c r="A23" s="8" t="s">
        <v>26</v>
      </c>
      <c r="B23" s="9">
        <v>17.489999999999998</v>
      </c>
      <c r="C23" s="9">
        <v>24.99</v>
      </c>
      <c r="D23" s="6" t="s">
        <v>77</v>
      </c>
      <c r="E23" s="6">
        <v>4</v>
      </c>
      <c r="F23" s="15">
        <v>7</v>
      </c>
    </row>
    <row r="24" spans="1:6" x14ac:dyDescent="0.3">
      <c r="A24" s="8" t="s">
        <v>27</v>
      </c>
      <c r="B24" s="9">
        <v>16.489999999999998</v>
      </c>
      <c r="C24" s="9">
        <v>28.99</v>
      </c>
      <c r="D24" s="6" t="s">
        <v>78</v>
      </c>
      <c r="E24" s="6">
        <v>11</v>
      </c>
      <c r="F24" s="15">
        <v>6</v>
      </c>
    </row>
    <row r="25" spans="1:6" x14ac:dyDescent="0.3">
      <c r="A25" s="8" t="s">
        <v>28</v>
      </c>
      <c r="B25" s="9">
        <v>18.489999999999998</v>
      </c>
      <c r="C25" s="9">
        <v>26.99</v>
      </c>
      <c r="D25" s="6" t="s">
        <v>79</v>
      </c>
      <c r="E25" s="6">
        <v>11</v>
      </c>
      <c r="F25" s="15">
        <v>6</v>
      </c>
    </row>
    <row r="26" spans="1:6" x14ac:dyDescent="0.3">
      <c r="A26" s="8" t="s">
        <v>29</v>
      </c>
      <c r="B26" s="9">
        <v>14.49</v>
      </c>
      <c r="C26" s="9">
        <v>26.99</v>
      </c>
      <c r="D26" s="6" t="s">
        <v>80</v>
      </c>
      <c r="E26" s="6">
        <v>13</v>
      </c>
      <c r="F26" s="15">
        <v>7</v>
      </c>
    </row>
    <row r="27" spans="1:6" x14ac:dyDescent="0.3">
      <c r="A27" s="8" t="s">
        <v>30</v>
      </c>
      <c r="B27" s="9">
        <v>20.49</v>
      </c>
      <c r="C27" s="9">
        <v>29.99</v>
      </c>
      <c r="D27" s="6" t="s">
        <v>81</v>
      </c>
      <c r="E27" s="6">
        <v>12</v>
      </c>
      <c r="F27" s="15">
        <v>8</v>
      </c>
    </row>
    <row r="28" spans="1:6" x14ac:dyDescent="0.3">
      <c r="A28" s="8" t="s">
        <v>31</v>
      </c>
      <c r="B28" s="9">
        <v>12.49</v>
      </c>
      <c r="C28" s="9">
        <v>22.99</v>
      </c>
      <c r="D28" s="6" t="s">
        <v>82</v>
      </c>
      <c r="E28" s="6">
        <v>6</v>
      </c>
      <c r="F28" s="15">
        <v>9</v>
      </c>
    </row>
    <row r="29" spans="1:6" x14ac:dyDescent="0.3">
      <c r="A29" s="8" t="s">
        <v>32</v>
      </c>
      <c r="B29" s="9">
        <v>20.49</v>
      </c>
      <c r="C29" s="9">
        <v>31.99</v>
      </c>
      <c r="D29" s="6" t="s">
        <v>83</v>
      </c>
      <c r="E29" s="6">
        <v>5</v>
      </c>
      <c r="F29" s="15">
        <v>7</v>
      </c>
    </row>
    <row r="30" spans="1:6" x14ac:dyDescent="0.3">
      <c r="A30" s="8" t="s">
        <v>33</v>
      </c>
      <c r="B30" s="9">
        <v>16.489999999999998</v>
      </c>
      <c r="C30" s="9">
        <v>25.99</v>
      </c>
      <c r="D30" s="6" t="s">
        <v>84</v>
      </c>
      <c r="E30" s="6">
        <v>13</v>
      </c>
      <c r="F30" s="15">
        <v>4</v>
      </c>
    </row>
    <row r="31" spans="1:6" x14ac:dyDescent="0.3">
      <c r="A31" s="8" t="s">
        <v>34</v>
      </c>
      <c r="B31" s="9">
        <v>18.489999999999998</v>
      </c>
      <c r="C31" s="9">
        <v>26.99</v>
      </c>
      <c r="D31" s="6" t="s">
        <v>85</v>
      </c>
      <c r="E31" s="6">
        <v>8</v>
      </c>
      <c r="F31" s="15">
        <v>9</v>
      </c>
    </row>
    <row r="32" spans="1:6" x14ac:dyDescent="0.3">
      <c r="A32" s="8" t="s">
        <v>35</v>
      </c>
      <c r="B32" s="9">
        <v>20.49</v>
      </c>
      <c r="C32" s="9">
        <v>29.99</v>
      </c>
      <c r="D32" s="6" t="s">
        <v>86</v>
      </c>
      <c r="E32" s="6">
        <v>4</v>
      </c>
      <c r="F32" s="15">
        <v>7</v>
      </c>
    </row>
    <row r="33" spans="1:6" x14ac:dyDescent="0.3">
      <c r="A33" s="8" t="s">
        <v>36</v>
      </c>
      <c r="B33" s="9">
        <v>21.99</v>
      </c>
      <c r="C33" s="9">
        <v>29.99</v>
      </c>
      <c r="D33" s="6" t="s">
        <v>87</v>
      </c>
      <c r="E33" s="6">
        <v>9</v>
      </c>
      <c r="F33" s="15">
        <v>4</v>
      </c>
    </row>
    <row r="34" spans="1:6" x14ac:dyDescent="0.3">
      <c r="A34" s="8" t="s">
        <v>37</v>
      </c>
      <c r="B34" s="9">
        <v>18.989999999999998</v>
      </c>
      <c r="C34" s="9">
        <v>31.99</v>
      </c>
      <c r="D34" s="6" t="s">
        <v>88</v>
      </c>
      <c r="E34" s="6">
        <v>4</v>
      </c>
      <c r="F34" s="15">
        <v>9</v>
      </c>
    </row>
    <row r="35" spans="1:6" x14ac:dyDescent="0.3">
      <c r="A35" s="8" t="s">
        <v>38</v>
      </c>
      <c r="B35" s="9">
        <v>16.989999999999998</v>
      </c>
      <c r="C35" s="9">
        <v>25.99</v>
      </c>
      <c r="D35" s="6" t="s">
        <v>89</v>
      </c>
      <c r="E35" s="6">
        <v>15</v>
      </c>
      <c r="F35" s="15">
        <v>6</v>
      </c>
    </row>
    <row r="36" spans="1:6" x14ac:dyDescent="0.3">
      <c r="A36" s="8" t="s">
        <v>39</v>
      </c>
      <c r="B36" s="9">
        <v>21.99</v>
      </c>
      <c r="C36" s="9">
        <v>32.99</v>
      </c>
      <c r="D36" s="6" t="s">
        <v>90</v>
      </c>
      <c r="E36" s="6">
        <v>4</v>
      </c>
      <c r="F36" s="15">
        <v>7</v>
      </c>
    </row>
    <row r="37" spans="1:6" x14ac:dyDescent="0.3">
      <c r="A37" s="8" t="s">
        <v>41</v>
      </c>
      <c r="B37" s="9">
        <v>14.99</v>
      </c>
      <c r="C37" s="9">
        <v>24.99</v>
      </c>
      <c r="D37" s="6" t="s">
        <v>91</v>
      </c>
      <c r="E37" s="6">
        <v>3</v>
      </c>
      <c r="F37" s="15">
        <v>6</v>
      </c>
    </row>
    <row r="38" spans="1:6" x14ac:dyDescent="0.3">
      <c r="A38" s="8" t="s">
        <v>42</v>
      </c>
      <c r="B38" s="9">
        <v>14.49</v>
      </c>
      <c r="C38" s="9">
        <v>26.99</v>
      </c>
      <c r="D38" s="6" t="s">
        <v>92</v>
      </c>
      <c r="E38" s="6">
        <v>10</v>
      </c>
      <c r="F38" s="15">
        <v>4</v>
      </c>
    </row>
    <row r="39" spans="1:6" x14ac:dyDescent="0.3">
      <c r="A39" s="8" t="s">
        <v>43</v>
      </c>
      <c r="B39" s="9">
        <v>16.489999999999998</v>
      </c>
      <c r="C39" s="9">
        <v>26.99</v>
      </c>
      <c r="D39" s="6" t="s">
        <v>93</v>
      </c>
      <c r="E39" s="6">
        <v>12</v>
      </c>
      <c r="F39" s="15">
        <v>7</v>
      </c>
    </row>
    <row r="40" spans="1:6" x14ac:dyDescent="0.3">
      <c r="A40" s="8" t="s">
        <v>44</v>
      </c>
      <c r="B40" s="9">
        <v>8.99</v>
      </c>
      <c r="C40" s="9">
        <v>14.99</v>
      </c>
      <c r="D40" s="6" t="s">
        <v>94</v>
      </c>
      <c r="E40" s="6">
        <v>3</v>
      </c>
      <c r="F40" s="15">
        <v>7</v>
      </c>
    </row>
    <row r="41" spans="1:6" x14ac:dyDescent="0.3">
      <c r="A41" s="8" t="s">
        <v>45</v>
      </c>
      <c r="B41" s="9">
        <v>8.99</v>
      </c>
      <c r="C41" s="9">
        <v>14.99</v>
      </c>
      <c r="D41" s="6" t="s">
        <v>95</v>
      </c>
      <c r="E41" s="6">
        <v>1</v>
      </c>
      <c r="F41" s="15">
        <v>7</v>
      </c>
    </row>
    <row r="42" spans="1:6" x14ac:dyDescent="0.3">
      <c r="A42" s="8" t="s">
        <v>46</v>
      </c>
      <c r="B42" s="9">
        <v>7.99</v>
      </c>
      <c r="C42" s="9">
        <v>14.99</v>
      </c>
      <c r="D42" s="6" t="s">
        <v>96</v>
      </c>
      <c r="E42" s="6">
        <v>9</v>
      </c>
      <c r="F42" s="15">
        <v>6</v>
      </c>
    </row>
    <row r="43" spans="1:6" x14ac:dyDescent="0.3">
      <c r="A43" s="8" t="s">
        <v>47</v>
      </c>
      <c r="B43" s="9">
        <v>10.99</v>
      </c>
      <c r="C43" s="9">
        <v>16.989999999999998</v>
      </c>
      <c r="D43" s="6" t="s">
        <v>97</v>
      </c>
      <c r="E43" s="6">
        <v>6</v>
      </c>
      <c r="F43" s="15">
        <v>6</v>
      </c>
    </row>
    <row r="44" spans="1:6" x14ac:dyDescent="0.3">
      <c r="A44" s="8" t="s">
        <v>48</v>
      </c>
      <c r="B44" s="9">
        <v>5.99</v>
      </c>
      <c r="C44" s="9">
        <v>10.99</v>
      </c>
      <c r="D44" s="6" t="s">
        <v>98</v>
      </c>
      <c r="E44" s="6">
        <v>4</v>
      </c>
      <c r="F44" s="15">
        <v>7</v>
      </c>
    </row>
    <row r="45" spans="1:6" x14ac:dyDescent="0.3">
      <c r="A45" s="8" t="s">
        <v>49</v>
      </c>
      <c r="B45" s="9">
        <v>7.99</v>
      </c>
      <c r="C45" s="9">
        <v>14.99</v>
      </c>
      <c r="D45" s="6" t="s">
        <v>99</v>
      </c>
      <c r="E45" s="6">
        <v>9</v>
      </c>
      <c r="F45" s="15">
        <v>6</v>
      </c>
    </row>
    <row r="46" spans="1:6" x14ac:dyDescent="0.3">
      <c r="A46" s="8" t="s">
        <v>50</v>
      </c>
      <c r="B46" s="9">
        <v>4.99</v>
      </c>
      <c r="C46" s="9">
        <v>11.99</v>
      </c>
      <c r="D46" s="6" t="s">
        <v>100</v>
      </c>
      <c r="E46" s="6">
        <v>4</v>
      </c>
      <c r="F46" s="15">
        <v>4</v>
      </c>
    </row>
    <row r="47" spans="1:6" x14ac:dyDescent="0.3">
      <c r="A47" s="8" t="s">
        <v>51</v>
      </c>
      <c r="B47" s="9">
        <v>9.99</v>
      </c>
      <c r="C47" s="9">
        <v>16.989999999999998</v>
      </c>
      <c r="D47" s="6" t="s">
        <v>101</v>
      </c>
      <c r="E47" s="6">
        <v>15</v>
      </c>
      <c r="F47" s="15">
        <v>7</v>
      </c>
    </row>
    <row r="48" spans="1:6" x14ac:dyDescent="0.3">
      <c r="A48" s="8" t="s">
        <v>52</v>
      </c>
      <c r="B48" s="9">
        <v>10.99</v>
      </c>
      <c r="C48" s="9">
        <v>14.99</v>
      </c>
      <c r="D48" s="6" t="s">
        <v>102</v>
      </c>
      <c r="E48" s="6">
        <v>4</v>
      </c>
      <c r="F48" s="15">
        <v>7</v>
      </c>
    </row>
    <row r="49" spans="1:6" x14ac:dyDescent="0.3">
      <c r="A49" s="8" t="s">
        <v>53</v>
      </c>
      <c r="B49" s="9">
        <v>7.99</v>
      </c>
      <c r="C49" s="9">
        <v>11.99</v>
      </c>
      <c r="D49" s="6" t="s">
        <v>103</v>
      </c>
      <c r="E49" s="6">
        <v>3</v>
      </c>
      <c r="F49" s="15">
        <v>7</v>
      </c>
    </row>
    <row r="50" spans="1:6" x14ac:dyDescent="0.3">
      <c r="A50" s="8" t="s">
        <v>54</v>
      </c>
      <c r="B50" s="9">
        <v>8.99</v>
      </c>
      <c r="C50" s="9">
        <v>14.99</v>
      </c>
      <c r="D50" s="6" t="s">
        <v>104</v>
      </c>
      <c r="E50" s="6">
        <v>10</v>
      </c>
      <c r="F50" s="15">
        <v>6</v>
      </c>
    </row>
    <row r="51" spans="1:6" x14ac:dyDescent="0.3">
      <c r="A51" s="8" t="s">
        <v>55</v>
      </c>
      <c r="B51" s="9">
        <v>4.99</v>
      </c>
      <c r="C51" s="9">
        <v>9.99</v>
      </c>
      <c r="D51" s="6" t="s">
        <v>105</v>
      </c>
      <c r="E51" s="6">
        <v>6</v>
      </c>
      <c r="F51" s="15">
        <v>7</v>
      </c>
    </row>
  </sheetData>
  <phoneticPr fontId="1" type="noConversion"/>
  <hyperlinks>
    <hyperlink ref="A3" r:id="rId1" tooltip="Heteropanax " display="https://www.plantagen.fi/heteropanax-korkeus-160-cm-vihrea-541054.html" xr:uid="{1C3B79F8-05D5-4B72-ABD2-5DAD8B921924}"/>
    <hyperlink ref="A4" r:id="rId2" tooltip="Varjoviikuna" display="https://www.plantagen.fi/varjoviikuna-korkeus-80-cm-vihrea-534979.html" xr:uid="{CEEDFEBA-C2B8-473E-B98E-04738D5A487F}"/>
    <hyperlink ref="A5" r:id="rId3" tooltip="Kumiviikuna 'Melany'" display="https://www.plantagen.fi/kumiviikuna-melany-korkeus-70-cm-vihrea-530481.html" xr:uid="{EB3AD1A4-2542-4B5D-8AB0-DBF08A732687}"/>
    <hyperlink ref="A6" r:id="rId4" tooltip="Lyyraviikuna" display="https://www.plantagen.fi/lyyraviikuna-korkeus-150-cm-vihrea-516845.html" xr:uid="{40219D8A-C33C-4660-9384-A6E8E263435C}"/>
    <hyperlink ref="A7" r:id="rId5" tooltip="Seepra-alokasia " display="https://www.plantagen.fi/seepra-alokasia-korkeus-100-cm-vihrea-510478.html" xr:uid="{C575FAD4-B90F-4DC7-A0E2-E9349904ADF9}"/>
    <hyperlink ref="A8" r:id="rId6" tooltip="Rungollinen banianviikuna 'Audrey'" display="https://www.plantagen.fi/rungollinen-banianviikuna-audrey-korkeus-130-cm-vihrea-541030.html" xr:uid="{07B8D710-C555-48B6-BC7C-E787B1EA15DE}"/>
    <hyperlink ref="A9" r:id="rId7" tooltip="Rungollinen korvakeviikuna" display="https://www.plantagen.fi/rungollinen-korvakeviikuna-korkeus-135-cm-vihrea-541031.html" xr:uid="{C37E397A-E53D-486F-B5B5-212B9F1C6509}"/>
    <hyperlink ref="A10" r:id="rId8" tooltip="Kääpiösitrus rungollinen" display="https://www.plantagen.fi/kaapiositrus-rungollinen-%C3%B819-cm-oranssi-510485.html" xr:uid="{AEFD696F-8FFF-42C0-BE3E-D23CE1A9391C}"/>
    <hyperlink ref="A11" r:id="rId9" tooltip="Siroliuska-aralia tekokasvi" display="https://www.plantagen.fi/siroliuska-aralia-tekokasvi-korkeus-75-cm-vihrea-2408500.html" xr:uid="{8F38A4EB-8110-4D1D-BB0E-19314B8E7D78}"/>
    <hyperlink ref="A12" r:id="rId10" tooltip="Kirjolehti " display="https://www.plantagen.fi/kirjolehti-korkeus-45-cm-useita-vareja-535023.html" xr:uid="{5B9D6CDD-1E11-4F6C-AAB9-AAD50F4E124B}"/>
    <hyperlink ref="A13" r:id="rId11" tooltip="Isogalangajuuri 'Variegata'" display="https://www.plantagen.fi/isogalangajuuri-variegata-korkeus-65-cm-vihrea-544451.html" xr:uid="{408ED6EA-8AD4-4623-8C86-6EEE2FBD3759}"/>
    <hyperlink ref="A14" r:id="rId12" tooltip="Marmorimaija" display="https://www.plantagen.fi/marmorimaija-korkeus-65-cm-vihrea-517407.html" xr:uid="{C394DCA8-4781-49E7-8A87-1A4AEB428B80}"/>
    <hyperlink ref="A15" r:id="rId13" tooltip="Isomaija ’Silvia’ " display="https://www.plantagen.fi/isomaija-%E2%80%99silvia%E2%80%99-korkeus-80-cm-vihrea-517408.html" xr:uid="{6FAF601B-1BAF-4DA9-A7FC-1CB6E9EA5FC2}"/>
    <hyperlink ref="A16" r:id="rId14" tooltip="Viikuna 'Umbellata'" display="https://www.plantagen.fi/viikuna-umbellata-korkeus-75-cm-vihrea-541043.html" xr:uid="{BBA611EB-FB0E-4646-AB02-EA0656607943}"/>
    <hyperlink ref="A17" r:id="rId15" tooltip="Ihmepensas 'Petra' " display="https://www.plantagen.fi/ihmepensas-petra-korkeus-60-cm-viininpunainen-530530.html" xr:uid="{0C3A9654-1DAC-4F7C-8422-3EAFBE8C87F6}"/>
    <hyperlink ref="A18" r:id="rId16" tooltip="Kuristajaklusia 'Princess'" display="https://www.plantagen.fi/kuristajaklusia-princess-korkeus-40-cm-vihrea-525272.html" xr:uid="{68F016FA-D9C0-42A0-AFA9-EFB77ECFBD39}"/>
    <hyperlink ref="A19" r:id="rId17" tooltip="Kumiviikuna ‘Melany’" display="https://www.plantagen.fi/kumiviikuna-%E2%80%98melany%E2%80%99-korkeus-60-cm-vihrea-541034.html" xr:uid="{9AE563CC-233F-4B41-B8FD-F072428D8BE6}"/>
    <hyperlink ref="A20" r:id="rId18" tooltip="Laikkuvehka 'White Lime'" display="https://www.plantagen.fi/laikkuvehka-white-lime-korkeus-40-cm-vihrea-547516.html" xr:uid="{4CB68397-ADF2-4A6D-B8E7-38D17D86C41B}"/>
    <hyperlink ref="A21" r:id="rId19" tooltip="Kultaköynnös amppelissa" display="https://www.plantagen.fi/kultakoynnos-amppelissa-korkeus-40-cm-vihrea-530486.html" xr:uid="{C7AFD8CC-25E6-422D-B736-DFF9CB7E828D}"/>
    <hyperlink ref="A22" r:id="rId20" tooltip="Pussiköynnös kirjavalehtinen " display="https://www.plantagen.fi/pussikoynnos-kirjavalehtinen-korkeus-40-cm-vihrea-541020.html" xr:uid="{19C11449-8231-4C7E-B707-A87342AA038B}"/>
    <hyperlink ref="A23" r:id="rId21" tooltip="Pussiköynnös" display="https://www.plantagen.fi/pussikoynnos-korkeus-40-cm-vihrea-541018.html" xr:uid="{4DB905B8-1D37-4F8F-A0F8-C10756FC9E53}"/>
    <hyperlink ref="A24" r:id="rId22" tooltip="Piilea amppelissa" display="https://www.plantagen.fi/piilea-amppelissa-korkeus-20-cm-vihrea-530501.html" xr:uid="{077992D4-71E3-40CB-B1B4-5DDECA981028}"/>
    <hyperlink ref="A25" r:id="rId23" tooltip="Kastanjasutipuu" display="https://www.plantagen.fi/kastanjasutipuu-korkeus-55-cm-vihrea-510929.html" xr:uid="{979F27B9-08CA-4D6B-9E3E-920739AF7498}"/>
    <hyperlink ref="A26" r:id="rId24" tooltip="Anopinkieli 'Laurentii'" display="https://www.plantagen.fi/anopinkieli-laurentii-korkeus-65-cm-vihrea-530547.html" xr:uid="{7FD3273C-E5F8-4743-B572-EEB6FD718874}"/>
    <hyperlink ref="A27" r:id="rId25" tooltip="Hopea-aralia ’Fabian’" display="https://www.plantagen.fi/hopea-aralia-%E2%80%99fabian%E2%80%99-korkeus-60-cm-vihrea-530545.html" xr:uid="{495EDB62-8C50-4BAA-A7A0-D42BAEA5A9EB}"/>
    <hyperlink ref="A28" r:id="rId26" tooltip="Puikkokämmekkä 'Apollon'" display="https://www.plantagen.fi/puikkokammekka-apollon-korkeus-50-cm-valkoinen-520993.html" xr:uid="{ED69C16C-361E-4C82-AC41-0C72FDCF4DCB}"/>
    <hyperlink ref="A29" r:id="rId27" tooltip="Begonia 'Cane Hotspot'" display="https://www.plantagen.fi/begonia-cane-hotspot-korkeus-35-cm-vihrea-534960.html" xr:uid="{20D9AEB7-B92D-4BD3-8276-08DBC59953A7}"/>
    <hyperlink ref="A30" r:id="rId28" tooltip="Isoleopoldinkukka" display="https://www.plantagen.fi/isoleopoldinkukka-korkeus-30-cm-keltainen-540989.html" xr:uid="{828DAFE8-E8C7-4EAE-8C05-10F767486DC7}"/>
    <hyperlink ref="A31" r:id="rId29" tooltip="Begonia" display="https://www.plantagen.fi/begonia-korkeus-30-cm-vihrea-530496.html" xr:uid="{952C88A9-0929-42DF-9DE4-6706C63C4BEB}"/>
    <hyperlink ref="A32" r:id="rId30" tooltip="Alokasia 'Lauterbachiana'" display="https://www.plantagen.fi/alokasia-lauterbachiana-korkeus-60-cm-vihrea-540985.html" xr:uid="{1AEC3D82-53C7-430A-B99D-DE05B8B452C9}"/>
    <hyperlink ref="A33" r:id="rId31" tooltip="Aaltomaija" display="https://www.plantagen.fi/aaltomaija-korkeus-55-cm-vihrea-530526.html" xr:uid="{409D9BE5-FA4B-4746-AABB-159CF788FE82}"/>
    <hyperlink ref="A34" r:id="rId32" tooltip="Täplämaija" display="https://www.plantagen.fi/taplamaija-korkeus-50-cm-vihrea-530528.html" xr:uid="{FFBE24AD-E47B-41FB-9575-4D50D3ECBA09}"/>
    <hyperlink ref="A35" r:id="rId33" tooltip="Tekobambu terrakottaruukussa" display="https://www.plantagen.fi/tekobambu-terrakottaruukussa-korkeus-46-cm-vihrea-2443990.html" xr:uid="{D4C00B86-1F88-4754-A421-2D73E62118A8}"/>
    <hyperlink ref="A36" r:id="rId34" tooltip="Viherkasvi tekokasvi" display="https://www.plantagen.fi/viherkasvi-tekokasvi-korkeus-39-cm-useita-vareja-2288003.html" xr:uid="{614F329D-718B-4C1A-A75E-74E82E888446}"/>
    <hyperlink ref="A37" r:id="rId35" tooltip="Tuonenkielo tekokasvi" display="https://www.plantagen.fi/tuonenkielo-tekokasvi-pituus-67-cm-vihrea-532126.html" xr:uid="{167AEC3C-90BE-4CB1-A5AC-0F7FDB5D76D3}"/>
    <hyperlink ref="A38" r:id="rId36" tooltip="Jouluruusu " display="https://www.plantagen.fi/jouluruusu-%C3%B815-cm-monivarinen-521252.html" xr:uid="{1875BFF8-2090-41A2-AADC-E14B8FA2408C}"/>
    <hyperlink ref="A39" r:id="rId37" tooltip="Vaniljaorkidea" display="https://www.plantagen.fi/vaniljaorkidea-korkeus-45-cm-vihrea-534953.html" xr:uid="{6872732B-830B-49F7-8843-6A92CF303690}"/>
    <hyperlink ref="A40" r:id="rId38" tooltip="Kiiltojukka" display="https://www.plantagen.fi/kiiltojukka-korkeus-60-cm-vihrea-521039.html" xr:uid="{710C5288-C12D-42A8-9CBC-BD2C70291E36}"/>
    <hyperlink ref="A41" r:id="rId39" tooltip="Pylvästyräkki" display="https://www.plantagen.fi/pylvastyrakki-korkeus-40-cm-vihrea-534944.html" xr:uid="{C701E219-7BFE-4A99-AFDC-EC84600D9980}"/>
    <hyperlink ref="A42" r:id="rId40" tooltip="Villakko 'Peregrinus'" display="https://www.plantagen.fi/villakko-peregrinus-korkeus-60-cm-vihrea-544867.html" xr:uid="{41733CC4-3461-413A-AA08-3F344174FA0E}"/>
    <hyperlink ref="A43" r:id="rId41" tooltip="Muratti" display="https://www.plantagen.fi/muratti-korkeus-10-cm-vihrea-514814.html" xr:uid="{16FD860E-68B7-42CF-B680-2511599B85CC}"/>
    <hyperlink ref="A44" r:id="rId42" tooltip="Anopinkieli 'Black Gold'" display="https://www.plantagen.fi/anopinkieli-black-gold-korkeus-35-cm-vihrea-510886.html" xr:uid="{8F027260-FA61-4B47-BB5D-8D4DCB42DABE}"/>
    <hyperlink ref="A45" r:id="rId43" tooltip="Helmivillakko" display="https://www.plantagen.fi/helmivillakko-korkeus-20-25-cm-vihrea-544868.html" xr:uid="{F8D81965-971E-4DA5-A445-01DAAA10047F}"/>
    <hyperlink ref="A46" r:id="rId44" tooltip="Pilkkubegonia 'Maculata'" display="https://www.plantagen.fi/pilkkubegonia-maculata-korkeus-25-cm-vihrea-514925.html" xr:uid="{26964AA0-07C1-49FF-BEE9-8D1173DD98C3}"/>
    <hyperlink ref="A47" r:id="rId45" tooltip="Neulavehka" display="https://www.plantagen.fi/neulavehka-korkeus-30-cm-vihrea-530488.html" xr:uid="{009187C3-8E96-458D-A012-89E4D5212599}"/>
    <hyperlink ref="A48" r:id="rId46" tooltip="Timanttiananas" display="https://www.plantagen.fi/timanttiananas-korkeus-40-cm-monivarinen-510862.html" xr:uid="{4C898C98-8A5F-4497-9F50-FE70025BE67E}"/>
    <hyperlink ref="A49" r:id="rId47" tooltip="Alokasia 'Black Velvet'" display="https://www.plantagen.fi/alokasia-black-velvet-korkeus-25-cm-vihrea-534962.html" xr:uid="{4210CE9E-6EF4-4DD4-9164-70E6E2EEC870}"/>
    <hyperlink ref="A50" r:id="rId48" tooltip="Anopinkieli ’Moonshine’" display="https://www.plantagen.fi/anopinkieli-%E2%80%99moonshine%E2%80%99-korkeus-30-cm-vihrea-541081.html" xr:uid="{B0077C92-AB9D-4C3C-BE1E-13E10116EC72}"/>
    <hyperlink ref="A51" r:id="rId49" tooltip="Köynnösvehka 'Silver Sword'" display="https://www.plantagen.fi/koynnosvehka-silver-sword-korkeus-25-cm-vihrea-545786.html" xr:uid="{C8AE5A76-D922-451D-8D9E-ECA4DCFDE02B}"/>
  </hyperlinks>
  <pageMargins left="0.7" right="0.7" top="0.75" bottom="0.75" header="0.3" footer="0.3"/>
  <pageSetup paperSize="9" orientation="portrait" r:id="rId50"/>
  <tableParts count="1">
    <tablePart r:id="rId5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FC70A-7AD9-4E7B-80FF-E961EE52DE4A}">
  <sheetPr codeName="Sheet4"/>
  <dimension ref="A1:H60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4.6640625" customWidth="1"/>
    <col min="2" max="4" width="15.77734375" customWidth="1"/>
    <col min="5" max="7" width="15.77734375" style="1" customWidth="1"/>
    <col min="8" max="8" width="18.33203125" style="1" customWidth="1"/>
  </cols>
  <sheetData>
    <row r="1" spans="1:8" ht="37.200000000000003" customHeight="1" x14ac:dyDescent="0.3">
      <c r="A1" s="4" t="s">
        <v>0</v>
      </c>
      <c r="B1" s="5" t="s">
        <v>106</v>
      </c>
      <c r="C1" s="5" t="s">
        <v>107</v>
      </c>
      <c r="D1" s="5" t="s">
        <v>108</v>
      </c>
      <c r="E1" s="5" t="s">
        <v>109</v>
      </c>
      <c r="F1" s="5" t="s">
        <v>110</v>
      </c>
      <c r="G1" s="5" t="s">
        <v>1</v>
      </c>
      <c r="H1" s="5" t="s">
        <v>111</v>
      </c>
    </row>
    <row r="2" spans="1:8" x14ac:dyDescent="0.3">
      <c r="A2" s="8" t="s">
        <v>5</v>
      </c>
      <c r="B2" s="6" t="s">
        <v>112</v>
      </c>
      <c r="C2" s="10">
        <v>44197</v>
      </c>
      <c r="D2" s="6">
        <v>31</v>
      </c>
      <c r="E2" s="9">
        <f>VLOOKUP(A2,Table1[[#All],[Product Name]:[Price Per Unit]],3,0)</f>
        <v>139.99</v>
      </c>
      <c r="F2" s="9">
        <f>D2*E2</f>
        <v>4339.6900000000005</v>
      </c>
      <c r="G2" s="9">
        <f>VLOOKUP(A2,Table1[[Product Name]:[Cost Per Unit]],2,0)</f>
        <v>100.99</v>
      </c>
      <c r="H2" s="9">
        <f>G2*D2</f>
        <v>3130.69</v>
      </c>
    </row>
    <row r="3" spans="1:8" x14ac:dyDescent="0.3">
      <c r="A3" s="8" t="s">
        <v>6</v>
      </c>
      <c r="B3" s="6" t="s">
        <v>112</v>
      </c>
      <c r="C3" s="10">
        <v>44197</v>
      </c>
      <c r="D3" s="6">
        <v>22</v>
      </c>
      <c r="E3" s="9">
        <f>VLOOKUP(A3,Table1[[#All],[Product Name]:[Price Per Unit]],3,0)</f>
        <v>118.99</v>
      </c>
      <c r="F3" s="9">
        <f t="shared" ref="F3:F51" si="0">D3*E3</f>
        <v>2617.7799999999997</v>
      </c>
      <c r="G3" s="9">
        <f>VLOOKUP(A3,Table1[[Product Name]:[Cost Per Unit]],2,0)</f>
        <v>92.99</v>
      </c>
      <c r="H3" s="9">
        <f t="shared" ref="H3:H51" si="1">G3*D3</f>
        <v>2045.78</v>
      </c>
    </row>
    <row r="4" spans="1:8" x14ac:dyDescent="0.3">
      <c r="A4" s="8" t="s">
        <v>7</v>
      </c>
      <c r="B4" s="6" t="s">
        <v>112</v>
      </c>
      <c r="C4" s="10">
        <v>44197</v>
      </c>
      <c r="D4" s="6">
        <v>39</v>
      </c>
      <c r="E4" s="9">
        <f>VLOOKUP(A4,Table1[[#All],[Product Name]:[Price Per Unit]],3,0)</f>
        <v>104.99</v>
      </c>
      <c r="F4" s="9">
        <f t="shared" si="0"/>
        <v>4094.6099999999997</v>
      </c>
      <c r="G4" s="9">
        <f>VLOOKUP(A4,Table1[[Product Name]:[Cost Per Unit]],2,0)</f>
        <v>85.99</v>
      </c>
      <c r="H4" s="9">
        <f t="shared" si="1"/>
        <v>3353.6099999999997</v>
      </c>
    </row>
    <row r="5" spans="1:8" x14ac:dyDescent="0.3">
      <c r="A5" s="8" t="s">
        <v>8</v>
      </c>
      <c r="B5" s="6" t="s">
        <v>112</v>
      </c>
      <c r="C5" s="10">
        <v>44197</v>
      </c>
      <c r="D5" s="6">
        <v>30</v>
      </c>
      <c r="E5" s="9">
        <f>VLOOKUP(A5,Table1[[#All],[Product Name]:[Price Per Unit]],3,0)</f>
        <v>45.99</v>
      </c>
      <c r="F5" s="9">
        <f t="shared" si="0"/>
        <v>1379.7</v>
      </c>
      <c r="G5" s="9">
        <f>VLOOKUP(A5,Table1[[Product Name]:[Cost Per Unit]],2,0)</f>
        <v>30.99</v>
      </c>
      <c r="H5" s="9">
        <f t="shared" si="1"/>
        <v>929.69999999999993</v>
      </c>
    </row>
    <row r="6" spans="1:8" x14ac:dyDescent="0.3">
      <c r="A6" s="8" t="s">
        <v>9</v>
      </c>
      <c r="B6" s="6" t="s">
        <v>112</v>
      </c>
      <c r="C6" s="10">
        <v>44197</v>
      </c>
      <c r="D6" s="6">
        <v>23</v>
      </c>
      <c r="E6" s="9">
        <f>VLOOKUP(A6,Table1[[#All],[Product Name]:[Price Per Unit]],3,0)</f>
        <v>125.99</v>
      </c>
      <c r="F6" s="9">
        <f t="shared" si="0"/>
        <v>2897.77</v>
      </c>
      <c r="G6" s="9">
        <f>VLOOKUP(A6,Table1[[Product Name]:[Cost Per Unit]],2,0)</f>
        <v>90.99</v>
      </c>
      <c r="H6" s="9">
        <f t="shared" si="1"/>
        <v>2092.77</v>
      </c>
    </row>
    <row r="7" spans="1:8" x14ac:dyDescent="0.3">
      <c r="A7" s="8" t="s">
        <v>10</v>
      </c>
      <c r="B7" s="6" t="s">
        <v>112</v>
      </c>
      <c r="C7" s="10">
        <v>44197</v>
      </c>
      <c r="D7" s="6">
        <v>40</v>
      </c>
      <c r="E7" s="9">
        <f>VLOOKUP(A7,Table1[[#All],[Product Name]:[Price Per Unit]],3,0)</f>
        <v>48.99</v>
      </c>
      <c r="F7" s="9">
        <f t="shared" si="0"/>
        <v>1959.6000000000001</v>
      </c>
      <c r="G7" s="9">
        <f>VLOOKUP(A7,Table1[[Product Name]:[Cost Per Unit]],2,0)</f>
        <v>32.99</v>
      </c>
      <c r="H7" s="9">
        <f t="shared" si="1"/>
        <v>1319.6000000000001</v>
      </c>
    </row>
    <row r="8" spans="1:8" x14ac:dyDescent="0.3">
      <c r="A8" s="8" t="s">
        <v>11</v>
      </c>
      <c r="B8" s="6" t="s">
        <v>112</v>
      </c>
      <c r="C8" s="10">
        <v>44197</v>
      </c>
      <c r="D8" s="6">
        <v>39</v>
      </c>
      <c r="E8" s="9">
        <f>VLOOKUP(A8,Table1[[#All],[Product Name]:[Price Per Unit]],3,0)</f>
        <v>111.99</v>
      </c>
      <c r="F8" s="9">
        <f t="shared" si="0"/>
        <v>4367.6099999999997</v>
      </c>
      <c r="G8" s="9">
        <f>VLOOKUP(A8,Table1[[Product Name]:[Cost Per Unit]],2,0)</f>
        <v>85.99</v>
      </c>
      <c r="H8" s="9">
        <f t="shared" si="1"/>
        <v>3353.6099999999997</v>
      </c>
    </row>
    <row r="9" spans="1:8" x14ac:dyDescent="0.3">
      <c r="A9" s="8" t="s">
        <v>12</v>
      </c>
      <c r="B9" s="6" t="s">
        <v>112</v>
      </c>
      <c r="C9" s="10">
        <v>44197</v>
      </c>
      <c r="D9" s="6">
        <v>21</v>
      </c>
      <c r="E9" s="9">
        <f>VLOOKUP(A9,Table1[[#All],[Product Name]:[Price Per Unit]],3,0)</f>
        <v>111.99</v>
      </c>
      <c r="F9" s="9">
        <f t="shared" si="0"/>
        <v>2351.79</v>
      </c>
      <c r="G9" s="9">
        <f>VLOOKUP(A9,Table1[[Product Name]:[Cost Per Unit]],2,0)</f>
        <v>85.99</v>
      </c>
      <c r="H9" s="9">
        <f t="shared" si="1"/>
        <v>1805.79</v>
      </c>
    </row>
    <row r="10" spans="1:8" x14ac:dyDescent="0.3">
      <c r="A10" s="8" t="s">
        <v>13</v>
      </c>
      <c r="B10" s="6" t="s">
        <v>112</v>
      </c>
      <c r="C10" s="10">
        <v>44197</v>
      </c>
      <c r="D10" s="6">
        <v>37</v>
      </c>
      <c r="E10" s="9">
        <f>VLOOKUP(A10,Table1[[#All],[Product Name]:[Price Per Unit]],3,0)</f>
        <v>49.99</v>
      </c>
      <c r="F10" s="9">
        <f t="shared" si="0"/>
        <v>1849.63</v>
      </c>
      <c r="G10" s="9">
        <f>VLOOKUP(A10,Table1[[Product Name]:[Cost Per Unit]],2,0)</f>
        <v>30.99</v>
      </c>
      <c r="H10" s="9">
        <f t="shared" si="1"/>
        <v>1146.6299999999999</v>
      </c>
    </row>
    <row r="11" spans="1:8" x14ac:dyDescent="0.3">
      <c r="A11" s="8" t="s">
        <v>14</v>
      </c>
      <c r="B11" s="6" t="s">
        <v>112</v>
      </c>
      <c r="C11" s="10">
        <v>44197</v>
      </c>
      <c r="D11" s="6">
        <v>48</v>
      </c>
      <c r="E11" s="9">
        <f>VLOOKUP(A11,Table1[[#All],[Product Name]:[Price Per Unit]],3,0)</f>
        <v>44.99</v>
      </c>
      <c r="F11" s="9">
        <f t="shared" si="0"/>
        <v>2159.52</v>
      </c>
      <c r="G11" s="9">
        <f>VLOOKUP(A11,Table1[[Product Name]:[Cost Per Unit]],2,0)</f>
        <v>28.49</v>
      </c>
      <c r="H11" s="9">
        <f t="shared" si="1"/>
        <v>1367.52</v>
      </c>
    </row>
    <row r="12" spans="1:8" x14ac:dyDescent="0.3">
      <c r="A12" s="8" t="s">
        <v>15</v>
      </c>
      <c r="B12" s="6" t="s">
        <v>112</v>
      </c>
      <c r="C12" s="10">
        <v>44197</v>
      </c>
      <c r="D12" s="6">
        <v>33</v>
      </c>
      <c r="E12" s="9">
        <f>VLOOKUP(A12,Table1[[#All],[Product Name]:[Price Per Unit]],3,0)</f>
        <v>49.99</v>
      </c>
      <c r="F12" s="9">
        <f t="shared" si="0"/>
        <v>1649.67</v>
      </c>
      <c r="G12" s="9">
        <f>VLOOKUP(A12,Table1[[Product Name]:[Cost Per Unit]],2,0)</f>
        <v>34.49</v>
      </c>
      <c r="H12" s="9">
        <f t="shared" si="1"/>
        <v>1138.17</v>
      </c>
    </row>
    <row r="13" spans="1:8" x14ac:dyDescent="0.3">
      <c r="A13" s="8" t="s">
        <v>16</v>
      </c>
      <c r="B13" s="6" t="s">
        <v>112</v>
      </c>
      <c r="C13" s="10">
        <v>44197</v>
      </c>
      <c r="D13" s="6">
        <v>39</v>
      </c>
      <c r="E13" s="9">
        <f>VLOOKUP(A13,Table1[[#All],[Product Name]:[Price Per Unit]],3,0)</f>
        <v>46.99</v>
      </c>
      <c r="F13" s="9">
        <f t="shared" si="0"/>
        <v>1832.6100000000001</v>
      </c>
      <c r="G13" s="9">
        <f>VLOOKUP(A13,Table1[[Product Name]:[Cost Per Unit]],2,0)</f>
        <v>32.49</v>
      </c>
      <c r="H13" s="9">
        <f t="shared" si="1"/>
        <v>1267.1100000000001</v>
      </c>
    </row>
    <row r="14" spans="1:8" x14ac:dyDescent="0.3">
      <c r="A14" s="8" t="s">
        <v>17</v>
      </c>
      <c r="B14" s="6" t="s">
        <v>112</v>
      </c>
      <c r="C14" s="10">
        <v>44197</v>
      </c>
      <c r="D14" s="6">
        <v>49</v>
      </c>
      <c r="E14" s="9">
        <f>VLOOKUP(A14,Table1[[#All],[Product Name]:[Price Per Unit]],3,0)</f>
        <v>36.99</v>
      </c>
      <c r="F14" s="9">
        <f t="shared" si="0"/>
        <v>1812.51</v>
      </c>
      <c r="G14" s="9">
        <f>VLOOKUP(A14,Table1[[Product Name]:[Cost Per Unit]],2,0)</f>
        <v>25.49</v>
      </c>
      <c r="H14" s="9">
        <f t="shared" si="1"/>
        <v>1249.01</v>
      </c>
    </row>
    <row r="15" spans="1:8" x14ac:dyDescent="0.3">
      <c r="A15" s="8" t="s">
        <v>18</v>
      </c>
      <c r="B15" s="6" t="s">
        <v>112</v>
      </c>
      <c r="C15" s="10">
        <v>44197</v>
      </c>
      <c r="D15" s="6">
        <v>20</v>
      </c>
      <c r="E15" s="9">
        <f>VLOOKUP(A15,Table1[[#All],[Product Name]:[Price Per Unit]],3,0)</f>
        <v>35.99</v>
      </c>
      <c r="F15" s="9">
        <f t="shared" si="0"/>
        <v>719.80000000000007</v>
      </c>
      <c r="G15" s="9">
        <f>VLOOKUP(A15,Table1[[Product Name]:[Cost Per Unit]],2,0)</f>
        <v>24.49</v>
      </c>
      <c r="H15" s="9">
        <f t="shared" si="1"/>
        <v>489.79999999999995</v>
      </c>
    </row>
    <row r="16" spans="1:8" x14ac:dyDescent="0.3">
      <c r="A16" s="8" t="s">
        <v>19</v>
      </c>
      <c r="B16" s="6" t="s">
        <v>112</v>
      </c>
      <c r="C16" s="10">
        <v>44197</v>
      </c>
      <c r="D16" s="6">
        <v>21</v>
      </c>
      <c r="E16" s="9">
        <f>VLOOKUP(A16,Table1[[#All],[Product Name]:[Price Per Unit]],3,0)</f>
        <v>39.99</v>
      </c>
      <c r="F16" s="9">
        <f t="shared" si="0"/>
        <v>839.79000000000008</v>
      </c>
      <c r="G16" s="9">
        <f>VLOOKUP(A16,Table1[[Product Name]:[Cost Per Unit]],2,0)</f>
        <v>25.49</v>
      </c>
      <c r="H16" s="9">
        <f t="shared" si="1"/>
        <v>535.29</v>
      </c>
    </row>
    <row r="17" spans="1:8" x14ac:dyDescent="0.3">
      <c r="A17" s="8" t="s">
        <v>20</v>
      </c>
      <c r="B17" s="6" t="s">
        <v>112</v>
      </c>
      <c r="C17" s="10">
        <v>44197</v>
      </c>
      <c r="D17" s="6">
        <v>49</v>
      </c>
      <c r="E17" s="9">
        <f>VLOOKUP(A17,Table1[[#All],[Product Name]:[Price Per Unit]],3,0)</f>
        <v>32.99</v>
      </c>
      <c r="F17" s="9">
        <f t="shared" si="0"/>
        <v>1616.51</v>
      </c>
      <c r="G17" s="9">
        <f>VLOOKUP(A17,Table1[[Product Name]:[Cost Per Unit]],2,0)</f>
        <v>23.49</v>
      </c>
      <c r="H17" s="9">
        <f t="shared" si="1"/>
        <v>1151.01</v>
      </c>
    </row>
    <row r="18" spans="1:8" x14ac:dyDescent="0.3">
      <c r="A18" s="8" t="s">
        <v>21</v>
      </c>
      <c r="B18" s="6" t="s">
        <v>112</v>
      </c>
      <c r="C18" s="10">
        <v>44197</v>
      </c>
      <c r="D18" s="6">
        <v>28</v>
      </c>
      <c r="E18" s="9">
        <f>VLOOKUP(A18,Table1[[#All],[Product Name]:[Price Per Unit]],3,0)</f>
        <v>38.99</v>
      </c>
      <c r="F18" s="9">
        <f t="shared" si="0"/>
        <v>1091.72</v>
      </c>
      <c r="G18" s="9">
        <f>VLOOKUP(A18,Table1[[Product Name]:[Cost Per Unit]],2,0)</f>
        <v>25.49</v>
      </c>
      <c r="H18" s="9">
        <f t="shared" si="1"/>
        <v>713.71999999999991</v>
      </c>
    </row>
    <row r="19" spans="1:8" x14ac:dyDescent="0.3">
      <c r="A19" s="8" t="s">
        <v>22</v>
      </c>
      <c r="B19" s="6" t="s">
        <v>112</v>
      </c>
      <c r="C19" s="10">
        <v>44197</v>
      </c>
      <c r="D19" s="6">
        <v>34</v>
      </c>
      <c r="E19" s="9">
        <f>VLOOKUP(A19,Table1[[#All],[Product Name]:[Price Per Unit]],3,0)</f>
        <v>39.99</v>
      </c>
      <c r="F19" s="9">
        <f t="shared" si="0"/>
        <v>1359.66</v>
      </c>
      <c r="G19" s="9">
        <f>VLOOKUP(A19,Table1[[Product Name]:[Cost Per Unit]],2,0)</f>
        <v>24.49</v>
      </c>
      <c r="H19" s="9">
        <f t="shared" si="1"/>
        <v>832.66</v>
      </c>
    </row>
    <row r="20" spans="1:8" x14ac:dyDescent="0.3">
      <c r="A20" s="8" t="s">
        <v>23</v>
      </c>
      <c r="B20" s="6" t="s">
        <v>112</v>
      </c>
      <c r="C20" s="10">
        <v>44197</v>
      </c>
      <c r="D20" s="6">
        <v>31</v>
      </c>
      <c r="E20" s="9">
        <f>VLOOKUP(A20,Table1[[#All],[Product Name]:[Price Per Unit]],3,0)</f>
        <v>39.99</v>
      </c>
      <c r="F20" s="9">
        <f t="shared" si="0"/>
        <v>1239.69</v>
      </c>
      <c r="G20" s="9">
        <f>VLOOKUP(A20,Table1[[Product Name]:[Cost Per Unit]],2,0)</f>
        <v>27.49</v>
      </c>
      <c r="H20" s="9">
        <f t="shared" si="1"/>
        <v>852.18999999999994</v>
      </c>
    </row>
    <row r="21" spans="1:8" x14ac:dyDescent="0.3">
      <c r="A21" s="8" t="s">
        <v>24</v>
      </c>
      <c r="B21" s="6" t="s">
        <v>112</v>
      </c>
      <c r="C21" s="10">
        <v>44197</v>
      </c>
      <c r="D21" s="6">
        <v>48</v>
      </c>
      <c r="E21" s="9">
        <f>VLOOKUP(A21,Table1[[#All],[Product Name]:[Price Per Unit]],3,0)</f>
        <v>28.99</v>
      </c>
      <c r="F21" s="9">
        <f t="shared" si="0"/>
        <v>1391.52</v>
      </c>
      <c r="G21" s="9">
        <f>VLOOKUP(A21,Table1[[Product Name]:[Cost Per Unit]],2,0)</f>
        <v>15.49</v>
      </c>
      <c r="H21" s="9">
        <f t="shared" si="1"/>
        <v>743.52</v>
      </c>
    </row>
    <row r="22" spans="1:8" x14ac:dyDescent="0.3">
      <c r="A22" s="8" t="s">
        <v>25</v>
      </c>
      <c r="B22" s="6" t="s">
        <v>112</v>
      </c>
      <c r="C22" s="10">
        <v>44197</v>
      </c>
      <c r="D22" s="6">
        <v>42</v>
      </c>
      <c r="E22" s="9">
        <f>VLOOKUP(A22,Table1[[#All],[Product Name]:[Price Per Unit]],3,0)</f>
        <v>26.99</v>
      </c>
      <c r="F22" s="9">
        <f t="shared" si="0"/>
        <v>1133.58</v>
      </c>
      <c r="G22" s="9">
        <f>VLOOKUP(A22,Table1[[Product Name]:[Cost Per Unit]],2,0)</f>
        <v>17.489999999999998</v>
      </c>
      <c r="H22" s="9">
        <f t="shared" si="1"/>
        <v>734.57999999999993</v>
      </c>
    </row>
    <row r="23" spans="1:8" x14ac:dyDescent="0.3">
      <c r="A23" s="8" t="s">
        <v>26</v>
      </c>
      <c r="B23" s="6" t="s">
        <v>112</v>
      </c>
      <c r="C23" s="10">
        <v>44197</v>
      </c>
      <c r="D23" s="6">
        <v>31</v>
      </c>
      <c r="E23" s="9">
        <f>VLOOKUP(A23,Table1[[#All],[Product Name]:[Price Per Unit]],3,0)</f>
        <v>24.99</v>
      </c>
      <c r="F23" s="9">
        <f t="shared" si="0"/>
        <v>774.68999999999994</v>
      </c>
      <c r="G23" s="9">
        <f>VLOOKUP(A23,Table1[[Product Name]:[Cost Per Unit]],2,0)</f>
        <v>17.489999999999998</v>
      </c>
      <c r="H23" s="9">
        <f t="shared" si="1"/>
        <v>542.18999999999994</v>
      </c>
    </row>
    <row r="24" spans="1:8" x14ac:dyDescent="0.3">
      <c r="A24" s="8" t="s">
        <v>27</v>
      </c>
      <c r="B24" s="6" t="s">
        <v>112</v>
      </c>
      <c r="C24" s="10">
        <v>44197</v>
      </c>
      <c r="D24" s="6">
        <v>29</v>
      </c>
      <c r="E24" s="9">
        <f>VLOOKUP(A24,Table1[[#All],[Product Name]:[Price Per Unit]],3,0)</f>
        <v>28.99</v>
      </c>
      <c r="F24" s="9">
        <f t="shared" si="0"/>
        <v>840.70999999999992</v>
      </c>
      <c r="G24" s="9">
        <f>VLOOKUP(A24,Table1[[Product Name]:[Cost Per Unit]],2,0)</f>
        <v>16.489999999999998</v>
      </c>
      <c r="H24" s="9">
        <f t="shared" si="1"/>
        <v>478.21</v>
      </c>
    </row>
    <row r="25" spans="1:8" x14ac:dyDescent="0.3">
      <c r="A25" s="8" t="s">
        <v>28</v>
      </c>
      <c r="B25" s="6" t="s">
        <v>112</v>
      </c>
      <c r="C25" s="10">
        <v>44197</v>
      </c>
      <c r="D25" s="6">
        <v>34</v>
      </c>
      <c r="E25" s="9">
        <f>VLOOKUP(A25,Table1[[#All],[Product Name]:[Price Per Unit]],3,0)</f>
        <v>26.99</v>
      </c>
      <c r="F25" s="9">
        <f t="shared" si="0"/>
        <v>917.66</v>
      </c>
      <c r="G25" s="9">
        <f>VLOOKUP(A25,Table1[[Product Name]:[Cost Per Unit]],2,0)</f>
        <v>18.489999999999998</v>
      </c>
      <c r="H25" s="9">
        <f t="shared" si="1"/>
        <v>628.66</v>
      </c>
    </row>
    <row r="26" spans="1:8" x14ac:dyDescent="0.3">
      <c r="A26" s="8" t="s">
        <v>29</v>
      </c>
      <c r="B26" s="6" t="s">
        <v>112</v>
      </c>
      <c r="C26" s="10">
        <v>44197</v>
      </c>
      <c r="D26" s="6">
        <v>20</v>
      </c>
      <c r="E26" s="9">
        <f>VLOOKUP(A26,Table1[[#All],[Product Name]:[Price Per Unit]],3,0)</f>
        <v>26.99</v>
      </c>
      <c r="F26" s="9">
        <f t="shared" si="0"/>
        <v>539.79999999999995</v>
      </c>
      <c r="G26" s="9">
        <f>VLOOKUP(A26,Table1[[Product Name]:[Cost Per Unit]],2,0)</f>
        <v>14.49</v>
      </c>
      <c r="H26" s="9">
        <f t="shared" si="1"/>
        <v>289.8</v>
      </c>
    </row>
    <row r="27" spans="1:8" x14ac:dyDescent="0.3">
      <c r="A27" s="8" t="s">
        <v>30</v>
      </c>
      <c r="B27" s="6" t="s">
        <v>112</v>
      </c>
      <c r="C27" s="10">
        <v>44197</v>
      </c>
      <c r="D27" s="6">
        <v>34</v>
      </c>
      <c r="E27" s="9">
        <f>VLOOKUP(A27,Table1[[#All],[Product Name]:[Price Per Unit]],3,0)</f>
        <v>29.99</v>
      </c>
      <c r="F27" s="9">
        <f t="shared" si="0"/>
        <v>1019.66</v>
      </c>
      <c r="G27" s="9">
        <f>VLOOKUP(A27,Table1[[Product Name]:[Cost Per Unit]],2,0)</f>
        <v>20.49</v>
      </c>
      <c r="H27" s="9">
        <f t="shared" si="1"/>
        <v>696.66</v>
      </c>
    </row>
    <row r="28" spans="1:8" x14ac:dyDescent="0.3">
      <c r="A28" s="8" t="s">
        <v>31</v>
      </c>
      <c r="B28" s="6" t="s">
        <v>112</v>
      </c>
      <c r="C28" s="10">
        <v>44197</v>
      </c>
      <c r="D28" s="6">
        <v>42</v>
      </c>
      <c r="E28" s="9">
        <f>VLOOKUP(A28,Table1[[#All],[Product Name]:[Price Per Unit]],3,0)</f>
        <v>22.99</v>
      </c>
      <c r="F28" s="9">
        <f t="shared" si="0"/>
        <v>965.57999999999993</v>
      </c>
      <c r="G28" s="9">
        <f>VLOOKUP(A28,Table1[[Product Name]:[Cost Per Unit]],2,0)</f>
        <v>12.49</v>
      </c>
      <c r="H28" s="9">
        <f t="shared" si="1"/>
        <v>524.58000000000004</v>
      </c>
    </row>
    <row r="29" spans="1:8" x14ac:dyDescent="0.3">
      <c r="A29" s="8" t="s">
        <v>32</v>
      </c>
      <c r="B29" s="6" t="s">
        <v>112</v>
      </c>
      <c r="C29" s="10">
        <v>44197</v>
      </c>
      <c r="D29" s="6">
        <v>36</v>
      </c>
      <c r="E29" s="9">
        <f>VLOOKUP(A29,Table1[[#All],[Product Name]:[Price Per Unit]],3,0)</f>
        <v>31.99</v>
      </c>
      <c r="F29" s="9">
        <f t="shared" si="0"/>
        <v>1151.6399999999999</v>
      </c>
      <c r="G29" s="9">
        <f>VLOOKUP(A29,Table1[[Product Name]:[Cost Per Unit]],2,0)</f>
        <v>20.49</v>
      </c>
      <c r="H29" s="9">
        <f t="shared" si="1"/>
        <v>737.64</v>
      </c>
    </row>
    <row r="30" spans="1:8" x14ac:dyDescent="0.3">
      <c r="A30" s="8" t="s">
        <v>33</v>
      </c>
      <c r="B30" s="6" t="s">
        <v>112</v>
      </c>
      <c r="C30" s="10">
        <v>44197</v>
      </c>
      <c r="D30" s="6">
        <v>40</v>
      </c>
      <c r="E30" s="9">
        <f>VLOOKUP(A30,Table1[[#All],[Product Name]:[Price Per Unit]],3,0)</f>
        <v>25.99</v>
      </c>
      <c r="F30" s="9">
        <f t="shared" si="0"/>
        <v>1039.5999999999999</v>
      </c>
      <c r="G30" s="9">
        <f>VLOOKUP(A30,Table1[[Product Name]:[Cost Per Unit]],2,0)</f>
        <v>16.489999999999998</v>
      </c>
      <c r="H30" s="9">
        <f t="shared" si="1"/>
        <v>659.59999999999991</v>
      </c>
    </row>
    <row r="31" spans="1:8" x14ac:dyDescent="0.3">
      <c r="A31" s="8" t="s">
        <v>34</v>
      </c>
      <c r="B31" s="6" t="s">
        <v>112</v>
      </c>
      <c r="C31" s="10">
        <v>44197</v>
      </c>
      <c r="D31" s="6">
        <v>32</v>
      </c>
      <c r="E31" s="9">
        <f>VLOOKUP(A31,Table1[[#All],[Product Name]:[Price Per Unit]],3,0)</f>
        <v>26.99</v>
      </c>
      <c r="F31" s="9">
        <f t="shared" si="0"/>
        <v>863.68</v>
      </c>
      <c r="G31" s="9">
        <f>VLOOKUP(A31,Table1[[Product Name]:[Cost Per Unit]],2,0)</f>
        <v>18.489999999999998</v>
      </c>
      <c r="H31" s="9">
        <f t="shared" si="1"/>
        <v>591.67999999999995</v>
      </c>
    </row>
    <row r="32" spans="1:8" x14ac:dyDescent="0.3">
      <c r="A32" s="8" t="s">
        <v>35</v>
      </c>
      <c r="B32" s="6" t="s">
        <v>112</v>
      </c>
      <c r="C32" s="10">
        <v>44197</v>
      </c>
      <c r="D32" s="6">
        <v>44</v>
      </c>
      <c r="E32" s="9">
        <f>VLOOKUP(A32,Table1[[#All],[Product Name]:[Price Per Unit]],3,0)</f>
        <v>29.99</v>
      </c>
      <c r="F32" s="9">
        <f t="shared" si="0"/>
        <v>1319.56</v>
      </c>
      <c r="G32" s="9">
        <f>VLOOKUP(A32,Table1[[Product Name]:[Cost Per Unit]],2,0)</f>
        <v>20.49</v>
      </c>
      <c r="H32" s="9">
        <f t="shared" si="1"/>
        <v>901.56</v>
      </c>
    </row>
    <row r="33" spans="1:8" x14ac:dyDescent="0.3">
      <c r="A33" s="8" t="s">
        <v>36</v>
      </c>
      <c r="B33" s="6" t="s">
        <v>112</v>
      </c>
      <c r="C33" s="10">
        <v>44197</v>
      </c>
      <c r="D33" s="6">
        <v>39</v>
      </c>
      <c r="E33" s="9">
        <f>VLOOKUP(A33,Table1[[#All],[Product Name]:[Price Per Unit]],3,0)</f>
        <v>29.99</v>
      </c>
      <c r="F33" s="9">
        <f t="shared" si="0"/>
        <v>1169.6099999999999</v>
      </c>
      <c r="G33" s="9">
        <f>VLOOKUP(A33,Table1[[Product Name]:[Cost Per Unit]],2,0)</f>
        <v>21.99</v>
      </c>
      <c r="H33" s="9">
        <f t="shared" si="1"/>
        <v>857.6099999999999</v>
      </c>
    </row>
    <row r="34" spans="1:8" x14ac:dyDescent="0.3">
      <c r="A34" s="8" t="s">
        <v>37</v>
      </c>
      <c r="B34" s="6" t="s">
        <v>112</v>
      </c>
      <c r="C34" s="10">
        <v>44197</v>
      </c>
      <c r="D34" s="6">
        <v>20</v>
      </c>
      <c r="E34" s="9">
        <f>VLOOKUP(A34,Table1[[#All],[Product Name]:[Price Per Unit]],3,0)</f>
        <v>31.99</v>
      </c>
      <c r="F34" s="9">
        <f t="shared" si="0"/>
        <v>639.79999999999995</v>
      </c>
      <c r="G34" s="9">
        <f>VLOOKUP(A34,Table1[[Product Name]:[Cost Per Unit]],2,0)</f>
        <v>18.989999999999998</v>
      </c>
      <c r="H34" s="9">
        <f t="shared" si="1"/>
        <v>379.79999999999995</v>
      </c>
    </row>
    <row r="35" spans="1:8" x14ac:dyDescent="0.3">
      <c r="A35" s="8" t="s">
        <v>38</v>
      </c>
      <c r="B35" s="6" t="s">
        <v>112</v>
      </c>
      <c r="C35" s="10">
        <v>44197</v>
      </c>
      <c r="D35" s="6">
        <v>30</v>
      </c>
      <c r="E35" s="9">
        <f>VLOOKUP(A35,Table1[[#All],[Product Name]:[Price Per Unit]],3,0)</f>
        <v>25.99</v>
      </c>
      <c r="F35" s="9">
        <f t="shared" si="0"/>
        <v>779.69999999999993</v>
      </c>
      <c r="G35" s="9">
        <f>VLOOKUP(A35,Table1[[Product Name]:[Cost Per Unit]],2,0)</f>
        <v>16.989999999999998</v>
      </c>
      <c r="H35" s="9">
        <f t="shared" si="1"/>
        <v>509.69999999999993</v>
      </c>
    </row>
    <row r="36" spans="1:8" x14ac:dyDescent="0.3">
      <c r="A36" s="8" t="s">
        <v>39</v>
      </c>
      <c r="B36" s="6" t="s">
        <v>112</v>
      </c>
      <c r="C36" s="10">
        <v>44197</v>
      </c>
      <c r="D36" s="6">
        <v>21</v>
      </c>
      <c r="E36" s="9">
        <f>VLOOKUP(A36,Table1[[#All],[Product Name]:[Price Per Unit]],3,0)</f>
        <v>32.99</v>
      </c>
      <c r="F36" s="9">
        <f t="shared" si="0"/>
        <v>692.79000000000008</v>
      </c>
      <c r="G36" s="9">
        <f>VLOOKUP(A36,Table1[[Product Name]:[Cost Per Unit]],2,0)</f>
        <v>21.99</v>
      </c>
      <c r="H36" s="9">
        <f t="shared" si="1"/>
        <v>461.78999999999996</v>
      </c>
    </row>
    <row r="37" spans="1:8" x14ac:dyDescent="0.3">
      <c r="A37" s="8" t="s">
        <v>41</v>
      </c>
      <c r="B37" s="6" t="s">
        <v>112</v>
      </c>
      <c r="C37" s="10">
        <v>44197</v>
      </c>
      <c r="D37" s="6">
        <v>20</v>
      </c>
      <c r="E37" s="9">
        <f>VLOOKUP(A37,Table1[[#All],[Product Name]:[Price Per Unit]],3,0)</f>
        <v>24.99</v>
      </c>
      <c r="F37" s="9">
        <f t="shared" si="0"/>
        <v>499.79999999999995</v>
      </c>
      <c r="G37" s="9">
        <f>VLOOKUP(A37,Table1[[Product Name]:[Cost Per Unit]],2,0)</f>
        <v>14.99</v>
      </c>
      <c r="H37" s="9">
        <f t="shared" si="1"/>
        <v>299.8</v>
      </c>
    </row>
    <row r="38" spans="1:8" x14ac:dyDescent="0.3">
      <c r="A38" s="8" t="s">
        <v>42</v>
      </c>
      <c r="B38" s="6" t="s">
        <v>112</v>
      </c>
      <c r="C38" s="10">
        <v>44197</v>
      </c>
      <c r="D38" s="6">
        <v>40</v>
      </c>
      <c r="E38" s="9">
        <f>VLOOKUP(A38,Table1[[#All],[Product Name]:[Price Per Unit]],3,0)</f>
        <v>26.99</v>
      </c>
      <c r="F38" s="9">
        <f t="shared" si="0"/>
        <v>1079.5999999999999</v>
      </c>
      <c r="G38" s="9">
        <f>VLOOKUP(A38,Table1[[Product Name]:[Cost Per Unit]],2,0)</f>
        <v>14.49</v>
      </c>
      <c r="H38" s="9">
        <f t="shared" si="1"/>
        <v>579.6</v>
      </c>
    </row>
    <row r="39" spans="1:8" x14ac:dyDescent="0.3">
      <c r="A39" s="8" t="s">
        <v>43</v>
      </c>
      <c r="B39" s="6" t="s">
        <v>112</v>
      </c>
      <c r="C39" s="10">
        <v>44197</v>
      </c>
      <c r="D39" s="6">
        <v>24</v>
      </c>
      <c r="E39" s="9">
        <f>VLOOKUP(A39,Table1[[#All],[Product Name]:[Price Per Unit]],3,0)</f>
        <v>26.99</v>
      </c>
      <c r="F39" s="9">
        <f t="shared" si="0"/>
        <v>647.76</v>
      </c>
      <c r="G39" s="9">
        <f>VLOOKUP(A39,Table1[[Product Name]:[Cost Per Unit]],2,0)</f>
        <v>16.489999999999998</v>
      </c>
      <c r="H39" s="9">
        <f t="shared" si="1"/>
        <v>395.76</v>
      </c>
    </row>
    <row r="40" spans="1:8" x14ac:dyDescent="0.3">
      <c r="A40" s="8" t="s">
        <v>44</v>
      </c>
      <c r="B40" s="6" t="s">
        <v>112</v>
      </c>
      <c r="C40" s="10">
        <v>44197</v>
      </c>
      <c r="D40" s="6">
        <v>28</v>
      </c>
      <c r="E40" s="9">
        <f>VLOOKUP(A40,Table1[[#All],[Product Name]:[Price Per Unit]],3,0)</f>
        <v>14.99</v>
      </c>
      <c r="F40" s="9">
        <f t="shared" si="0"/>
        <v>419.72</v>
      </c>
      <c r="G40" s="9">
        <f>VLOOKUP(A40,Table1[[Product Name]:[Cost Per Unit]],2,0)</f>
        <v>8.99</v>
      </c>
      <c r="H40" s="9">
        <f t="shared" si="1"/>
        <v>251.72</v>
      </c>
    </row>
    <row r="41" spans="1:8" x14ac:dyDescent="0.3">
      <c r="A41" s="8" t="s">
        <v>45</v>
      </c>
      <c r="B41" s="6" t="s">
        <v>112</v>
      </c>
      <c r="C41" s="10">
        <v>44197</v>
      </c>
      <c r="D41" s="6">
        <v>39</v>
      </c>
      <c r="E41" s="9">
        <f>VLOOKUP(A41,Table1[[#All],[Product Name]:[Price Per Unit]],3,0)</f>
        <v>14.99</v>
      </c>
      <c r="F41" s="9">
        <f t="shared" si="0"/>
        <v>584.61</v>
      </c>
      <c r="G41" s="9">
        <f>VLOOKUP(A41,Table1[[Product Name]:[Cost Per Unit]],2,0)</f>
        <v>8.99</v>
      </c>
      <c r="H41" s="9">
        <f t="shared" si="1"/>
        <v>350.61</v>
      </c>
    </row>
    <row r="42" spans="1:8" x14ac:dyDescent="0.3">
      <c r="A42" s="8" t="s">
        <v>46</v>
      </c>
      <c r="B42" s="6" t="s">
        <v>112</v>
      </c>
      <c r="C42" s="10">
        <v>44197</v>
      </c>
      <c r="D42" s="6">
        <v>48</v>
      </c>
      <c r="E42" s="9">
        <f>VLOOKUP(A42,Table1[[#All],[Product Name]:[Price Per Unit]],3,0)</f>
        <v>14.99</v>
      </c>
      <c r="F42" s="9">
        <f t="shared" si="0"/>
        <v>719.52</v>
      </c>
      <c r="G42" s="9">
        <f>VLOOKUP(A42,Table1[[Product Name]:[Cost Per Unit]],2,0)</f>
        <v>7.99</v>
      </c>
      <c r="H42" s="9">
        <f t="shared" si="1"/>
        <v>383.52</v>
      </c>
    </row>
    <row r="43" spans="1:8" x14ac:dyDescent="0.3">
      <c r="A43" s="8" t="s">
        <v>47</v>
      </c>
      <c r="B43" s="6" t="s">
        <v>112</v>
      </c>
      <c r="C43" s="10">
        <v>44197</v>
      </c>
      <c r="D43" s="6">
        <v>39</v>
      </c>
      <c r="E43" s="9">
        <f>VLOOKUP(A43,Table1[[#All],[Product Name]:[Price Per Unit]],3,0)</f>
        <v>16.989999999999998</v>
      </c>
      <c r="F43" s="9">
        <f t="shared" si="0"/>
        <v>662.6099999999999</v>
      </c>
      <c r="G43" s="9">
        <f>VLOOKUP(A43,Table1[[Product Name]:[Cost Per Unit]],2,0)</f>
        <v>10.99</v>
      </c>
      <c r="H43" s="9">
        <f t="shared" si="1"/>
        <v>428.61</v>
      </c>
    </row>
    <row r="44" spans="1:8" x14ac:dyDescent="0.3">
      <c r="A44" s="8" t="s">
        <v>48</v>
      </c>
      <c r="B44" s="6" t="s">
        <v>112</v>
      </c>
      <c r="C44" s="10">
        <v>44197</v>
      </c>
      <c r="D44" s="6">
        <v>20</v>
      </c>
      <c r="E44" s="9">
        <f>VLOOKUP(A44,Table1[[#All],[Product Name]:[Price Per Unit]],3,0)</f>
        <v>10.99</v>
      </c>
      <c r="F44" s="9">
        <f t="shared" si="0"/>
        <v>219.8</v>
      </c>
      <c r="G44" s="9">
        <f>VLOOKUP(A44,Table1[[Product Name]:[Cost Per Unit]],2,0)</f>
        <v>5.99</v>
      </c>
      <c r="H44" s="9">
        <f t="shared" si="1"/>
        <v>119.80000000000001</v>
      </c>
    </row>
    <row r="45" spans="1:8" x14ac:dyDescent="0.3">
      <c r="A45" s="8" t="s">
        <v>49</v>
      </c>
      <c r="B45" s="6" t="s">
        <v>112</v>
      </c>
      <c r="C45" s="10">
        <v>44197</v>
      </c>
      <c r="D45" s="6">
        <v>40</v>
      </c>
      <c r="E45" s="9">
        <f>VLOOKUP(A45,Table1[[#All],[Product Name]:[Price Per Unit]],3,0)</f>
        <v>14.99</v>
      </c>
      <c r="F45" s="9">
        <f t="shared" si="0"/>
        <v>599.6</v>
      </c>
      <c r="G45" s="9">
        <f>VLOOKUP(A45,Table1[[Product Name]:[Cost Per Unit]],2,0)</f>
        <v>7.99</v>
      </c>
      <c r="H45" s="9">
        <f t="shared" si="1"/>
        <v>319.60000000000002</v>
      </c>
    </row>
    <row r="46" spans="1:8" x14ac:dyDescent="0.3">
      <c r="A46" s="8" t="s">
        <v>50</v>
      </c>
      <c r="B46" s="6" t="s">
        <v>112</v>
      </c>
      <c r="C46" s="10">
        <v>44197</v>
      </c>
      <c r="D46" s="6">
        <v>80</v>
      </c>
      <c r="E46" s="9">
        <f>VLOOKUP(A46,Table1[[#All],[Product Name]:[Price Per Unit]],3,0)</f>
        <v>11.99</v>
      </c>
      <c r="F46" s="9">
        <f t="shared" si="0"/>
        <v>959.2</v>
      </c>
      <c r="G46" s="9">
        <f>VLOOKUP(A46,Table1[[Product Name]:[Cost Per Unit]],2,0)</f>
        <v>4.99</v>
      </c>
      <c r="H46" s="9">
        <f t="shared" si="1"/>
        <v>399.20000000000005</v>
      </c>
    </row>
    <row r="47" spans="1:8" x14ac:dyDescent="0.3">
      <c r="A47" s="8" t="s">
        <v>51</v>
      </c>
      <c r="B47" s="6" t="s">
        <v>112</v>
      </c>
      <c r="C47" s="10">
        <v>44197</v>
      </c>
      <c r="D47" s="6">
        <v>39</v>
      </c>
      <c r="E47" s="9">
        <f>VLOOKUP(A47,Table1[[#All],[Product Name]:[Price Per Unit]],3,0)</f>
        <v>16.989999999999998</v>
      </c>
      <c r="F47" s="9">
        <f t="shared" si="0"/>
        <v>662.6099999999999</v>
      </c>
      <c r="G47" s="9">
        <f>VLOOKUP(A47,Table1[[Product Name]:[Cost Per Unit]],2,0)</f>
        <v>9.99</v>
      </c>
      <c r="H47" s="9">
        <f t="shared" si="1"/>
        <v>389.61</v>
      </c>
    </row>
    <row r="48" spans="1:8" x14ac:dyDescent="0.3">
      <c r="A48" s="8" t="s">
        <v>52</v>
      </c>
      <c r="B48" s="6" t="s">
        <v>112</v>
      </c>
      <c r="C48" s="10">
        <v>44197</v>
      </c>
      <c r="D48" s="6">
        <v>32</v>
      </c>
      <c r="E48" s="9">
        <f>VLOOKUP(A48,Table1[[#All],[Product Name]:[Price Per Unit]],3,0)</f>
        <v>14.99</v>
      </c>
      <c r="F48" s="9">
        <f t="shared" si="0"/>
        <v>479.68</v>
      </c>
      <c r="G48" s="9">
        <f>VLOOKUP(A48,Table1[[Product Name]:[Cost Per Unit]],2,0)</f>
        <v>10.99</v>
      </c>
      <c r="H48" s="9">
        <f t="shared" si="1"/>
        <v>351.68</v>
      </c>
    </row>
    <row r="49" spans="1:8" x14ac:dyDescent="0.3">
      <c r="A49" s="8" t="s">
        <v>53</v>
      </c>
      <c r="B49" s="6" t="s">
        <v>112</v>
      </c>
      <c r="C49" s="10">
        <v>44197</v>
      </c>
      <c r="D49" s="6">
        <v>44</v>
      </c>
      <c r="E49" s="9">
        <f>VLOOKUP(A49,Table1[[#All],[Product Name]:[Price Per Unit]],3,0)</f>
        <v>11.99</v>
      </c>
      <c r="F49" s="9">
        <f t="shared" si="0"/>
        <v>527.56000000000006</v>
      </c>
      <c r="G49" s="9">
        <f>VLOOKUP(A49,Table1[[Product Name]:[Cost Per Unit]],2,0)</f>
        <v>7.99</v>
      </c>
      <c r="H49" s="9">
        <f t="shared" si="1"/>
        <v>351.56</v>
      </c>
    </row>
    <row r="50" spans="1:8" x14ac:dyDescent="0.3">
      <c r="A50" s="8" t="s">
        <v>54</v>
      </c>
      <c r="B50" s="6" t="s">
        <v>112</v>
      </c>
      <c r="C50" s="10">
        <v>44197</v>
      </c>
      <c r="D50" s="6">
        <v>39</v>
      </c>
      <c r="E50" s="9">
        <f>VLOOKUP(A50,Table1[[#All],[Product Name]:[Price Per Unit]],3,0)</f>
        <v>14.99</v>
      </c>
      <c r="F50" s="9">
        <f t="shared" si="0"/>
        <v>584.61</v>
      </c>
      <c r="G50" s="9">
        <f>VLOOKUP(A50,Table1[[Product Name]:[Cost Per Unit]],2,0)</f>
        <v>8.99</v>
      </c>
      <c r="H50" s="9">
        <f t="shared" si="1"/>
        <v>350.61</v>
      </c>
    </row>
    <row r="51" spans="1:8" x14ac:dyDescent="0.3">
      <c r="A51" s="8" t="s">
        <v>55</v>
      </c>
      <c r="B51" s="6" t="s">
        <v>112</v>
      </c>
      <c r="C51" s="10">
        <v>44197</v>
      </c>
      <c r="D51" s="6">
        <v>20</v>
      </c>
      <c r="E51" s="9">
        <f>VLOOKUP(A51,Table1[[#All],[Product Name]:[Price Per Unit]],3,0)</f>
        <v>9.99</v>
      </c>
      <c r="F51" s="9">
        <f t="shared" si="0"/>
        <v>199.8</v>
      </c>
      <c r="G51" s="9">
        <f>VLOOKUP(A51,Table1[[Product Name]:[Cost Per Unit]],2,0)</f>
        <v>4.99</v>
      </c>
      <c r="H51" s="9">
        <f t="shared" si="1"/>
        <v>99.800000000000011</v>
      </c>
    </row>
    <row r="52" spans="1:8" x14ac:dyDescent="0.3">
      <c r="A52" s="8" t="s">
        <v>47</v>
      </c>
      <c r="B52" s="6" t="s">
        <v>114</v>
      </c>
      <c r="C52" s="10">
        <v>44212</v>
      </c>
      <c r="D52" s="6">
        <v>29</v>
      </c>
      <c r="E52" s="9">
        <f>VLOOKUP(A52,Table1[[#All],[Product Name]:[Price Per Unit]],3,0)</f>
        <v>16.989999999999998</v>
      </c>
      <c r="F52" s="9">
        <f t="shared" ref="F52:F59" si="2">D52*E52</f>
        <v>492.71</v>
      </c>
      <c r="G52" s="9">
        <f>VLOOKUP(A52,Table1[[Product Name]:[Cost Per Unit]],2,0)</f>
        <v>10.99</v>
      </c>
      <c r="H52" s="9">
        <f t="shared" ref="H52:H59" si="3">G52*D52</f>
        <v>318.70999999999998</v>
      </c>
    </row>
    <row r="53" spans="1:8" x14ac:dyDescent="0.3">
      <c r="A53" s="8" t="s">
        <v>43</v>
      </c>
      <c r="B53" s="6" t="s">
        <v>114</v>
      </c>
      <c r="C53" s="10">
        <v>44201</v>
      </c>
      <c r="D53" s="6">
        <v>24</v>
      </c>
      <c r="E53" s="9">
        <f>VLOOKUP(A53,Table1[[#All],[Product Name]:[Price Per Unit]],3,0)</f>
        <v>26.99</v>
      </c>
      <c r="F53" s="9">
        <f t="shared" si="2"/>
        <v>647.76</v>
      </c>
      <c r="G53" s="9">
        <f>VLOOKUP(A53,Table1[[Product Name]:[Cost Per Unit]],2,0)</f>
        <v>16.489999999999998</v>
      </c>
      <c r="H53" s="9">
        <f t="shared" si="3"/>
        <v>395.76</v>
      </c>
    </row>
    <row r="54" spans="1:8" x14ac:dyDescent="0.3">
      <c r="A54" s="8" t="s">
        <v>43</v>
      </c>
      <c r="B54" s="6" t="s">
        <v>113</v>
      </c>
      <c r="C54" s="10">
        <v>44203</v>
      </c>
      <c r="D54" s="6">
        <v>30</v>
      </c>
      <c r="E54" s="9">
        <f>VLOOKUP(A54,Table1[[#All],[Product Name]:[Price Per Unit]],3,0)</f>
        <v>26.99</v>
      </c>
      <c r="F54" s="9">
        <f t="shared" si="2"/>
        <v>809.69999999999993</v>
      </c>
      <c r="G54" s="9">
        <f>VLOOKUP(A54,Table1[[Product Name]:[Cost Per Unit]],2,0)</f>
        <v>16.489999999999998</v>
      </c>
      <c r="H54" s="9">
        <f t="shared" si="3"/>
        <v>494.69999999999993</v>
      </c>
    </row>
    <row r="55" spans="1:8" x14ac:dyDescent="0.3">
      <c r="A55" s="8" t="s">
        <v>38</v>
      </c>
      <c r="B55" s="6" t="s">
        <v>114</v>
      </c>
      <c r="C55" s="10">
        <v>44197</v>
      </c>
      <c r="D55" s="6">
        <v>15</v>
      </c>
      <c r="E55" s="9">
        <f>VLOOKUP(A55,Table1[[#All],[Product Name]:[Price Per Unit]],3,0)</f>
        <v>25.99</v>
      </c>
      <c r="F55" s="9">
        <f t="shared" si="2"/>
        <v>389.84999999999997</v>
      </c>
      <c r="G55" s="9">
        <f>VLOOKUP(A55,Table1[[Product Name]:[Cost Per Unit]],2,0)</f>
        <v>16.989999999999998</v>
      </c>
      <c r="H55" s="9">
        <f t="shared" si="3"/>
        <v>254.84999999999997</v>
      </c>
    </row>
    <row r="56" spans="1:8" x14ac:dyDescent="0.3">
      <c r="A56" s="8" t="s">
        <v>35</v>
      </c>
      <c r="B56" s="6" t="s">
        <v>114</v>
      </c>
      <c r="C56" s="10">
        <v>44206</v>
      </c>
      <c r="D56" s="6">
        <v>33</v>
      </c>
      <c r="E56" s="9">
        <f>VLOOKUP(A56,Table1[[#All],[Product Name]:[Price Per Unit]],3,0)</f>
        <v>29.99</v>
      </c>
      <c r="F56" s="9">
        <f t="shared" si="2"/>
        <v>989.67</v>
      </c>
      <c r="G56" s="9">
        <f>VLOOKUP(A56,Table1[[Product Name]:[Cost Per Unit]],2,0)</f>
        <v>20.49</v>
      </c>
      <c r="H56" s="9">
        <f t="shared" si="3"/>
        <v>676.17</v>
      </c>
    </row>
    <row r="57" spans="1:8" x14ac:dyDescent="0.3">
      <c r="A57" s="8" t="s">
        <v>35</v>
      </c>
      <c r="B57" s="6" t="s">
        <v>113</v>
      </c>
      <c r="C57" s="10">
        <v>44208</v>
      </c>
      <c r="D57" s="6">
        <v>25</v>
      </c>
      <c r="E57" s="9">
        <f>VLOOKUP(A57,Table1[[#All],[Product Name]:[Price Per Unit]],3,0)</f>
        <v>29.99</v>
      </c>
      <c r="F57" s="9">
        <f t="shared" si="2"/>
        <v>749.75</v>
      </c>
      <c r="G57" s="9">
        <f>VLOOKUP(A57,Table1[[Product Name]:[Cost Per Unit]],2,0)</f>
        <v>20.49</v>
      </c>
      <c r="H57" s="9">
        <f t="shared" si="3"/>
        <v>512.25</v>
      </c>
    </row>
    <row r="58" spans="1:8" x14ac:dyDescent="0.3">
      <c r="A58" s="8" t="s">
        <v>50</v>
      </c>
      <c r="B58" s="6" t="s">
        <v>114</v>
      </c>
      <c r="C58" s="10">
        <v>44198</v>
      </c>
      <c r="D58" s="6">
        <v>15</v>
      </c>
      <c r="E58" s="9">
        <f>VLOOKUP(A58,Table1[[#All],[Product Name]:[Price Per Unit]],3,0)</f>
        <v>11.99</v>
      </c>
      <c r="F58" s="9">
        <f t="shared" si="2"/>
        <v>179.85</v>
      </c>
      <c r="G58" s="9">
        <f>VLOOKUP(A58,Table1[[Product Name]:[Cost Per Unit]],2,0)</f>
        <v>4.99</v>
      </c>
      <c r="H58" s="9">
        <f t="shared" si="3"/>
        <v>74.850000000000009</v>
      </c>
    </row>
    <row r="59" spans="1:8" x14ac:dyDescent="0.3">
      <c r="A59" s="8" t="s">
        <v>21</v>
      </c>
      <c r="B59" s="6" t="s">
        <v>114</v>
      </c>
      <c r="C59" s="10">
        <v>44206</v>
      </c>
      <c r="D59" s="6">
        <v>28</v>
      </c>
      <c r="E59" s="9">
        <f>VLOOKUP(A59,Table1[[#All],[Product Name]:[Price Per Unit]],3,0)</f>
        <v>38.99</v>
      </c>
      <c r="F59" s="9">
        <f t="shared" si="2"/>
        <v>1091.72</v>
      </c>
      <c r="G59" s="9">
        <f>VLOOKUP(A59,Table1[[Product Name]:[Cost Per Unit]],2,0)</f>
        <v>25.49</v>
      </c>
      <c r="H59" s="9">
        <f t="shared" si="3"/>
        <v>713.71999999999991</v>
      </c>
    </row>
    <row r="60" spans="1:8" x14ac:dyDescent="0.3">
      <c r="A60" s="8"/>
    </row>
  </sheetData>
  <dataValidations count="1">
    <dataValidation type="list" allowBlank="1" showInputMessage="1" showErrorMessage="1" sqref="B1:B59" xr:uid="{E5B6352F-A97B-42AB-B660-252A133B7995}">
      <formula1>"Opening Stock, In, Out"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2E670-5ED5-443D-9FCD-1EAA4EEB890F}">
  <sheetPr codeName="Sheet5"/>
  <dimension ref="A1:J51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32.109375" bestFit="1" customWidth="1"/>
    <col min="2" max="2" width="15.77734375" style="7" customWidth="1"/>
    <col min="3" max="4" width="12.77734375" style="7" customWidth="1"/>
    <col min="5" max="9" width="15.77734375" style="7" customWidth="1"/>
    <col min="10" max="10" width="17.5546875" style="7" customWidth="1"/>
  </cols>
  <sheetData>
    <row r="1" spans="1:10" s="3" customFormat="1" ht="28.2" customHeight="1" x14ac:dyDescent="0.3">
      <c r="A1" s="11" t="s">
        <v>0</v>
      </c>
      <c r="B1" s="12" t="s">
        <v>112</v>
      </c>
      <c r="C1" s="12" t="s">
        <v>113</v>
      </c>
      <c r="D1" s="12" t="s">
        <v>114</v>
      </c>
      <c r="E1" s="12" t="s">
        <v>115</v>
      </c>
      <c r="F1" s="12" t="s">
        <v>116</v>
      </c>
      <c r="G1" s="12" t="s">
        <v>117</v>
      </c>
      <c r="H1" s="12" t="s">
        <v>118</v>
      </c>
      <c r="I1" s="12" t="s">
        <v>119</v>
      </c>
      <c r="J1" s="12" t="s">
        <v>3</v>
      </c>
    </row>
    <row r="2" spans="1:10" ht="15" customHeight="1" x14ac:dyDescent="0.3">
      <c r="A2" s="8" t="s">
        <v>5</v>
      </c>
      <c r="B2" s="13">
        <f>SUMIFS('Stock In-out'!D:D,'Stock In-out'!B:B,"Opening Stock",'Stock In-out'!A:A,'Stock In-out'!A2)</f>
        <v>31</v>
      </c>
      <c r="C2" s="13">
        <f>SUMIFS('Stock In-out'!E:E,'Stock In-out'!C:C,"In",'Stock In-out'!B:B,'Stock In-out'!B2)</f>
        <v>0</v>
      </c>
      <c r="D2" s="13">
        <f>SUMIFS('Stock In-out'!D:D,'Stock In-out'!B:B,"Out",'Stock In-out'!A:A,'Stock In-out'!A2)</f>
        <v>0</v>
      </c>
      <c r="E2" s="13">
        <f>B2+C2-D2</f>
        <v>31</v>
      </c>
      <c r="F2" s="14">
        <f>VLOOKUP(A2,'Product Details'!A:C,3,0)*Inventory!E2</f>
        <v>4339.6900000000005</v>
      </c>
      <c r="G2" s="14">
        <f>VLOOKUP(A2,'Product Details'!A:C,2,0)*Inventory!E2</f>
        <v>3130.69</v>
      </c>
      <c r="H2" s="13">
        <f>VLOOKUP(A2,Table1[#All],6,0)</f>
        <v>6</v>
      </c>
      <c r="I2" s="13" t="str">
        <f>IF(H2&gt;=E2,"Yes", "No")</f>
        <v>No</v>
      </c>
      <c r="J2" s="13">
        <f>VLOOKUP(A2,Table1[#All],5,0)</f>
        <v>15</v>
      </c>
    </row>
    <row r="3" spans="1:10" ht="15" customHeight="1" x14ac:dyDescent="0.3">
      <c r="A3" s="8" t="s">
        <v>6</v>
      </c>
      <c r="B3" s="13">
        <f>SUMIFS('Stock In-out'!D:D,'Stock In-out'!B:B,"Opening Stock",'Stock In-out'!A:A,'Stock In-out'!A3)</f>
        <v>22</v>
      </c>
      <c r="C3" s="13">
        <f>SUMIFS('Stock In-out'!E:E,'Stock In-out'!C:C,"In",'Stock In-out'!B:B,'Stock In-out'!B3)</f>
        <v>0</v>
      </c>
      <c r="D3" s="13">
        <f>SUMIFS('Stock In-out'!D:D,'Stock In-out'!B:B,"Out",'Stock In-out'!A:A,'Stock In-out'!A3)</f>
        <v>0</v>
      </c>
      <c r="E3" s="13">
        <f t="shared" ref="E3:E51" si="0">B3+C3-D3</f>
        <v>22</v>
      </c>
      <c r="F3" s="14">
        <f>VLOOKUP(A3,'Product Details'!A:C,3,0)*Inventory!E3</f>
        <v>2617.7799999999997</v>
      </c>
      <c r="G3" s="14">
        <f>VLOOKUP(A3,'Product Details'!A:C,2,0)*Inventory!E3</f>
        <v>2045.78</v>
      </c>
      <c r="H3" s="13">
        <f>VLOOKUP(A3,Table1[#All],6,0)</f>
        <v>7</v>
      </c>
      <c r="I3" s="13" t="str">
        <f t="shared" ref="I3:I51" si="1">IF(H3&gt;=E3,"Yes", "No")</f>
        <v>No</v>
      </c>
      <c r="J3" s="13">
        <f>VLOOKUP(A3,Table1[#All],5,0)</f>
        <v>3</v>
      </c>
    </row>
    <row r="4" spans="1:10" ht="15" customHeight="1" x14ac:dyDescent="0.3">
      <c r="A4" s="8" t="s">
        <v>7</v>
      </c>
      <c r="B4" s="13">
        <f>SUMIFS('Stock In-out'!D:D,'Stock In-out'!B:B,"Opening Stock",'Stock In-out'!A:A,'Stock In-out'!A4)</f>
        <v>39</v>
      </c>
      <c r="C4" s="13">
        <f>SUMIFS('Stock In-out'!E:E,'Stock In-out'!C:C,"In",'Stock In-out'!B:B,'Stock In-out'!B4)</f>
        <v>0</v>
      </c>
      <c r="D4" s="13">
        <f>SUMIFS('Stock In-out'!D:D,'Stock In-out'!B:B,"Out",'Stock In-out'!A:A,'Stock In-out'!A4)</f>
        <v>0</v>
      </c>
      <c r="E4" s="13">
        <f t="shared" si="0"/>
        <v>39</v>
      </c>
      <c r="F4" s="14">
        <f>VLOOKUP(A4,'Product Details'!A:C,3,0)*Inventory!E4</f>
        <v>4094.6099999999997</v>
      </c>
      <c r="G4" s="14">
        <f>VLOOKUP(A4,'Product Details'!A:C,2,0)*Inventory!E4</f>
        <v>3353.6099999999997</v>
      </c>
      <c r="H4" s="13">
        <f>VLOOKUP(A4,Table1[#All],6,0)</f>
        <v>6</v>
      </c>
      <c r="I4" s="13" t="str">
        <f t="shared" si="1"/>
        <v>No</v>
      </c>
      <c r="J4" s="13">
        <f>VLOOKUP(A4,Table1[#All],5,0)</f>
        <v>2</v>
      </c>
    </row>
    <row r="5" spans="1:10" ht="15" customHeight="1" x14ac:dyDescent="0.3">
      <c r="A5" s="8" t="s">
        <v>8</v>
      </c>
      <c r="B5" s="13">
        <f>SUMIFS('Stock In-out'!D:D,'Stock In-out'!B:B,"Opening Stock",'Stock In-out'!A:A,'Stock In-out'!A5)</f>
        <v>30</v>
      </c>
      <c r="C5" s="13">
        <f>SUMIFS('Stock In-out'!E:E,'Stock In-out'!C:C,"In",'Stock In-out'!B:B,'Stock In-out'!B5)</f>
        <v>0</v>
      </c>
      <c r="D5" s="13">
        <f>SUMIFS('Stock In-out'!D:D,'Stock In-out'!B:B,"Out",'Stock In-out'!A:A,'Stock In-out'!A5)</f>
        <v>0</v>
      </c>
      <c r="E5" s="13">
        <f t="shared" si="0"/>
        <v>30</v>
      </c>
      <c r="F5" s="14">
        <f>VLOOKUP(A5,'Product Details'!A:C,3,0)*Inventory!E5</f>
        <v>1379.7</v>
      </c>
      <c r="G5" s="14">
        <f>VLOOKUP(A5,'Product Details'!A:C,2,0)*Inventory!E5</f>
        <v>929.69999999999993</v>
      </c>
      <c r="H5" s="13">
        <f>VLOOKUP(A5,Table1[#All],6,0)</f>
        <v>4</v>
      </c>
      <c r="I5" s="13" t="str">
        <f t="shared" si="1"/>
        <v>No</v>
      </c>
      <c r="J5" s="13">
        <f>VLOOKUP(A5,Table1[#All],5,0)</f>
        <v>1</v>
      </c>
    </row>
    <row r="6" spans="1:10" ht="15" customHeight="1" x14ac:dyDescent="0.3">
      <c r="A6" s="8" t="s">
        <v>9</v>
      </c>
      <c r="B6" s="13">
        <f>SUMIFS('Stock In-out'!D:D,'Stock In-out'!B:B,"Opening Stock",'Stock In-out'!A:A,'Stock In-out'!A6)</f>
        <v>23</v>
      </c>
      <c r="C6" s="13">
        <f>SUMIFS('Stock In-out'!E:E,'Stock In-out'!C:C,"In",'Stock In-out'!B:B,'Stock In-out'!B6)</f>
        <v>0</v>
      </c>
      <c r="D6" s="13">
        <f>SUMIFS('Stock In-out'!D:D,'Stock In-out'!B:B,"Out",'Stock In-out'!A:A,'Stock In-out'!A6)</f>
        <v>0</v>
      </c>
      <c r="E6" s="13">
        <f t="shared" si="0"/>
        <v>23</v>
      </c>
      <c r="F6" s="14">
        <f>VLOOKUP(A6,'Product Details'!A:C,3,0)*Inventory!E6</f>
        <v>2897.77</v>
      </c>
      <c r="G6" s="14">
        <f>VLOOKUP(A6,'Product Details'!A:C,2,0)*Inventory!E6</f>
        <v>2092.77</v>
      </c>
      <c r="H6" s="13">
        <f>VLOOKUP(A6,Table1[#All],6,0)</f>
        <v>7</v>
      </c>
      <c r="I6" s="13" t="str">
        <f t="shared" si="1"/>
        <v>No</v>
      </c>
      <c r="J6" s="13">
        <f>VLOOKUP(A6,Table1[#All],5,0)</f>
        <v>3</v>
      </c>
    </row>
    <row r="7" spans="1:10" ht="15" customHeight="1" x14ac:dyDescent="0.3">
      <c r="A7" s="8" t="s">
        <v>10</v>
      </c>
      <c r="B7" s="13">
        <f>SUMIFS('Stock In-out'!D:D,'Stock In-out'!B:B,"Opening Stock",'Stock In-out'!A:A,'Stock In-out'!A7)</f>
        <v>40</v>
      </c>
      <c r="C7" s="13">
        <f>SUMIFS('Stock In-out'!E:E,'Stock In-out'!C:C,"In",'Stock In-out'!B:B,'Stock In-out'!B7)</f>
        <v>0</v>
      </c>
      <c r="D7" s="13">
        <f>SUMIFS('Stock In-out'!D:D,'Stock In-out'!B:B,"Out",'Stock In-out'!A:A,'Stock In-out'!A7)</f>
        <v>0</v>
      </c>
      <c r="E7" s="13">
        <f t="shared" si="0"/>
        <v>40</v>
      </c>
      <c r="F7" s="14">
        <f>VLOOKUP(A7,'Product Details'!A:C,3,0)*Inventory!E7</f>
        <v>1959.6000000000001</v>
      </c>
      <c r="G7" s="14">
        <f>VLOOKUP(A7,'Product Details'!A:C,2,0)*Inventory!E7</f>
        <v>1319.6000000000001</v>
      </c>
      <c r="H7" s="13">
        <f>VLOOKUP(A7,Table1[#All],6,0)</f>
        <v>7</v>
      </c>
      <c r="I7" s="13" t="str">
        <f t="shared" si="1"/>
        <v>No</v>
      </c>
      <c r="J7" s="13">
        <f>VLOOKUP(A7,Table1[#All],5,0)</f>
        <v>6</v>
      </c>
    </row>
    <row r="8" spans="1:10" ht="15" customHeight="1" x14ac:dyDescent="0.3">
      <c r="A8" s="8" t="s">
        <v>11</v>
      </c>
      <c r="B8" s="13">
        <f>SUMIFS('Stock In-out'!D:D,'Stock In-out'!B:B,"Opening Stock",'Stock In-out'!A:A,'Stock In-out'!A8)</f>
        <v>39</v>
      </c>
      <c r="C8" s="13">
        <f>SUMIFS('Stock In-out'!E:E,'Stock In-out'!C:C,"In",'Stock In-out'!B:B,'Stock In-out'!B8)</f>
        <v>0</v>
      </c>
      <c r="D8" s="13">
        <f>SUMIFS('Stock In-out'!D:D,'Stock In-out'!B:B,"Out",'Stock In-out'!A:A,'Stock In-out'!A8)</f>
        <v>0</v>
      </c>
      <c r="E8" s="13">
        <f t="shared" si="0"/>
        <v>39</v>
      </c>
      <c r="F8" s="14">
        <f>VLOOKUP(A8,'Product Details'!A:C,3,0)*Inventory!E8</f>
        <v>4367.6099999999997</v>
      </c>
      <c r="G8" s="14">
        <f>VLOOKUP(A8,'Product Details'!A:C,2,0)*Inventory!E8</f>
        <v>3353.6099999999997</v>
      </c>
      <c r="H8" s="13">
        <f>VLOOKUP(A8,Table1[#All],6,0)</f>
        <v>7</v>
      </c>
      <c r="I8" s="13" t="str">
        <f t="shared" si="1"/>
        <v>No</v>
      </c>
      <c r="J8" s="13">
        <f>VLOOKUP(A8,Table1[#All],5,0)</f>
        <v>15</v>
      </c>
    </row>
    <row r="9" spans="1:10" ht="15" customHeight="1" x14ac:dyDescent="0.3">
      <c r="A9" s="8" t="s">
        <v>12</v>
      </c>
      <c r="B9" s="13">
        <f>SUMIFS('Stock In-out'!D:D,'Stock In-out'!B:B,"Opening Stock",'Stock In-out'!A:A,'Stock In-out'!A9)</f>
        <v>21</v>
      </c>
      <c r="C9" s="13">
        <f>SUMIFS('Stock In-out'!E:E,'Stock In-out'!C:C,"In",'Stock In-out'!B:B,'Stock In-out'!B9)</f>
        <v>0</v>
      </c>
      <c r="D9" s="13">
        <f>SUMIFS('Stock In-out'!D:D,'Stock In-out'!B:B,"Out",'Stock In-out'!A:A,'Stock In-out'!A9)</f>
        <v>0</v>
      </c>
      <c r="E9" s="13">
        <f t="shared" si="0"/>
        <v>21</v>
      </c>
      <c r="F9" s="14">
        <f>VLOOKUP(A9,'Product Details'!A:C,3,0)*Inventory!E9</f>
        <v>2351.79</v>
      </c>
      <c r="G9" s="14">
        <f>VLOOKUP(A9,'Product Details'!A:C,2,0)*Inventory!E9</f>
        <v>1805.79</v>
      </c>
      <c r="H9" s="13">
        <f>VLOOKUP(A9,Table1[#All],6,0)</f>
        <v>6</v>
      </c>
      <c r="I9" s="13" t="str">
        <f t="shared" si="1"/>
        <v>No</v>
      </c>
      <c r="J9" s="13">
        <f>VLOOKUP(A9,Table1[#All],5,0)</f>
        <v>4</v>
      </c>
    </row>
    <row r="10" spans="1:10" ht="15" customHeight="1" x14ac:dyDescent="0.3">
      <c r="A10" s="8" t="s">
        <v>13</v>
      </c>
      <c r="B10" s="13">
        <f>SUMIFS('Stock In-out'!D:D,'Stock In-out'!B:B,"Opening Stock",'Stock In-out'!A:A,'Stock In-out'!A10)</f>
        <v>37</v>
      </c>
      <c r="C10" s="13">
        <f>SUMIFS('Stock In-out'!E:E,'Stock In-out'!C:C,"In",'Stock In-out'!B:B,'Stock In-out'!B10)</f>
        <v>0</v>
      </c>
      <c r="D10" s="13">
        <f>SUMIFS('Stock In-out'!D:D,'Stock In-out'!B:B,"Out",'Stock In-out'!A:A,'Stock In-out'!A10)</f>
        <v>0</v>
      </c>
      <c r="E10" s="13">
        <f t="shared" si="0"/>
        <v>37</v>
      </c>
      <c r="F10" s="14">
        <f>VLOOKUP(A10,'Product Details'!A:C,3,0)*Inventory!E10</f>
        <v>1849.63</v>
      </c>
      <c r="G10" s="14">
        <f>VLOOKUP(A10,'Product Details'!A:C,2,0)*Inventory!E10</f>
        <v>1146.6299999999999</v>
      </c>
      <c r="H10" s="13">
        <f>VLOOKUP(A10,Table1[#All],6,0)</f>
        <v>6</v>
      </c>
      <c r="I10" s="13" t="str">
        <f t="shared" si="1"/>
        <v>No</v>
      </c>
      <c r="J10" s="13">
        <f>VLOOKUP(A10,Table1[#All],5,0)</f>
        <v>5</v>
      </c>
    </row>
    <row r="11" spans="1:10" ht="15" customHeight="1" x14ac:dyDescent="0.3">
      <c r="A11" s="8" t="s">
        <v>14</v>
      </c>
      <c r="B11" s="13">
        <f>SUMIFS('Stock In-out'!D:D,'Stock In-out'!B:B,"Opening Stock",'Stock In-out'!A:A,'Stock In-out'!A11)</f>
        <v>48</v>
      </c>
      <c r="C11" s="13">
        <f>SUMIFS('Stock In-out'!E:E,'Stock In-out'!C:C,"In",'Stock In-out'!B:B,'Stock In-out'!B11)</f>
        <v>0</v>
      </c>
      <c r="D11" s="13">
        <f>SUMIFS('Stock In-out'!D:D,'Stock In-out'!B:B,"Out",'Stock In-out'!A:A,'Stock In-out'!A11)</f>
        <v>0</v>
      </c>
      <c r="E11" s="13">
        <f t="shared" si="0"/>
        <v>48</v>
      </c>
      <c r="F11" s="14">
        <f>VLOOKUP(A11,'Product Details'!A:C,3,0)*Inventory!E11</f>
        <v>2159.52</v>
      </c>
      <c r="G11" s="14">
        <f>VLOOKUP(A11,'Product Details'!A:C,2,0)*Inventory!E11</f>
        <v>1367.52</v>
      </c>
      <c r="H11" s="13">
        <f>VLOOKUP(A11,Table1[#All],6,0)</f>
        <v>7</v>
      </c>
      <c r="I11" s="13" t="str">
        <f t="shared" si="1"/>
        <v>No</v>
      </c>
      <c r="J11" s="13">
        <f>VLOOKUP(A11,Table1[#All],5,0)</f>
        <v>14</v>
      </c>
    </row>
    <row r="12" spans="1:10" ht="15" customHeight="1" x14ac:dyDescent="0.3">
      <c r="A12" s="8" t="s">
        <v>15</v>
      </c>
      <c r="B12" s="13">
        <f>SUMIFS('Stock In-out'!D:D,'Stock In-out'!B:B,"Opening Stock",'Stock In-out'!A:A,'Stock In-out'!A12)</f>
        <v>33</v>
      </c>
      <c r="C12" s="13">
        <f>SUMIFS('Stock In-out'!E:E,'Stock In-out'!C:C,"In",'Stock In-out'!B:B,'Stock In-out'!B12)</f>
        <v>0</v>
      </c>
      <c r="D12" s="13">
        <f>SUMIFS('Stock In-out'!D:D,'Stock In-out'!B:B,"Out",'Stock In-out'!A:A,'Stock In-out'!A12)</f>
        <v>0</v>
      </c>
      <c r="E12" s="13">
        <f t="shared" si="0"/>
        <v>33</v>
      </c>
      <c r="F12" s="14">
        <f>VLOOKUP(A12,'Product Details'!A:C,3,0)*Inventory!E12</f>
        <v>1649.67</v>
      </c>
      <c r="G12" s="14">
        <f>VLOOKUP(A12,'Product Details'!A:C,2,0)*Inventory!E12</f>
        <v>1138.17</v>
      </c>
      <c r="H12" s="13">
        <f>VLOOKUP(A12,Table1[#All],6,0)</f>
        <v>8</v>
      </c>
      <c r="I12" s="13" t="str">
        <f t="shared" si="1"/>
        <v>No</v>
      </c>
      <c r="J12" s="13">
        <f>VLOOKUP(A12,Table1[#All],5,0)</f>
        <v>11</v>
      </c>
    </row>
    <row r="13" spans="1:10" ht="15" customHeight="1" x14ac:dyDescent="0.3">
      <c r="A13" s="8" t="s">
        <v>16</v>
      </c>
      <c r="B13" s="13">
        <f>SUMIFS('Stock In-out'!D:D,'Stock In-out'!B:B,"Opening Stock",'Stock In-out'!A:A,'Stock In-out'!A13)</f>
        <v>39</v>
      </c>
      <c r="C13" s="13">
        <f>SUMIFS('Stock In-out'!E:E,'Stock In-out'!C:C,"In",'Stock In-out'!B:B,'Stock In-out'!B13)</f>
        <v>0</v>
      </c>
      <c r="D13" s="13">
        <f>SUMIFS('Stock In-out'!D:D,'Stock In-out'!B:B,"Out",'Stock In-out'!A:A,'Stock In-out'!A13)</f>
        <v>0</v>
      </c>
      <c r="E13" s="13">
        <f t="shared" si="0"/>
        <v>39</v>
      </c>
      <c r="F13" s="14">
        <f>VLOOKUP(A13,'Product Details'!A:C,3,0)*Inventory!E13</f>
        <v>1832.6100000000001</v>
      </c>
      <c r="G13" s="14">
        <f>VLOOKUP(A13,'Product Details'!A:C,2,0)*Inventory!E13</f>
        <v>1267.1100000000001</v>
      </c>
      <c r="H13" s="13">
        <f>VLOOKUP(A13,Table1[#All],6,0)</f>
        <v>9</v>
      </c>
      <c r="I13" s="13" t="str">
        <f t="shared" si="1"/>
        <v>No</v>
      </c>
      <c r="J13" s="13">
        <f>VLOOKUP(A13,Table1[#All],5,0)</f>
        <v>5</v>
      </c>
    </row>
    <row r="14" spans="1:10" ht="15" customHeight="1" x14ac:dyDescent="0.3">
      <c r="A14" s="8" t="s">
        <v>17</v>
      </c>
      <c r="B14" s="13">
        <f>SUMIFS('Stock In-out'!D:D,'Stock In-out'!B:B,"Opening Stock",'Stock In-out'!A:A,'Stock In-out'!A14)</f>
        <v>49</v>
      </c>
      <c r="C14" s="13">
        <f>SUMIFS('Stock In-out'!E:E,'Stock In-out'!C:C,"In",'Stock In-out'!B:B,'Stock In-out'!B14)</f>
        <v>0</v>
      </c>
      <c r="D14" s="13">
        <f>SUMIFS('Stock In-out'!D:D,'Stock In-out'!B:B,"Out",'Stock In-out'!A:A,'Stock In-out'!A14)</f>
        <v>0</v>
      </c>
      <c r="E14" s="13">
        <f t="shared" si="0"/>
        <v>49</v>
      </c>
      <c r="F14" s="14">
        <f>VLOOKUP(A14,'Product Details'!A:C,3,0)*Inventory!E14</f>
        <v>1812.51</v>
      </c>
      <c r="G14" s="14">
        <f>VLOOKUP(A14,'Product Details'!A:C,2,0)*Inventory!E14</f>
        <v>1249.01</v>
      </c>
      <c r="H14" s="13">
        <f>VLOOKUP(A14,Table1[#All],6,0)</f>
        <v>7</v>
      </c>
      <c r="I14" s="13" t="str">
        <f t="shared" si="1"/>
        <v>No</v>
      </c>
      <c r="J14" s="13">
        <f>VLOOKUP(A14,Table1[#All],5,0)</f>
        <v>5</v>
      </c>
    </row>
    <row r="15" spans="1:10" ht="15" customHeight="1" x14ac:dyDescent="0.3">
      <c r="A15" s="8" t="s">
        <v>18</v>
      </c>
      <c r="B15" s="13">
        <f>SUMIFS('Stock In-out'!D:D,'Stock In-out'!B:B,"Opening Stock",'Stock In-out'!A:A,'Stock In-out'!A15)</f>
        <v>20</v>
      </c>
      <c r="C15" s="13">
        <f>SUMIFS('Stock In-out'!E:E,'Stock In-out'!C:C,"In",'Stock In-out'!B:B,'Stock In-out'!B15)</f>
        <v>0</v>
      </c>
      <c r="D15" s="13">
        <f>SUMIFS('Stock In-out'!D:D,'Stock In-out'!B:B,"Out",'Stock In-out'!A:A,'Stock In-out'!A15)</f>
        <v>0</v>
      </c>
      <c r="E15" s="13">
        <f t="shared" si="0"/>
        <v>20</v>
      </c>
      <c r="F15" s="14">
        <f>VLOOKUP(A15,'Product Details'!A:C,3,0)*Inventory!E15</f>
        <v>719.80000000000007</v>
      </c>
      <c r="G15" s="14">
        <f>VLOOKUP(A15,'Product Details'!A:C,2,0)*Inventory!E15</f>
        <v>489.79999999999995</v>
      </c>
      <c r="H15" s="13">
        <f>VLOOKUP(A15,Table1[#All],6,0)</f>
        <v>4</v>
      </c>
      <c r="I15" s="13" t="str">
        <f t="shared" si="1"/>
        <v>No</v>
      </c>
      <c r="J15" s="13">
        <f>VLOOKUP(A15,Table1[#All],5,0)</f>
        <v>12</v>
      </c>
    </row>
    <row r="16" spans="1:10" ht="15" customHeight="1" x14ac:dyDescent="0.3">
      <c r="A16" s="8" t="s">
        <v>19</v>
      </c>
      <c r="B16" s="13">
        <f>SUMIFS('Stock In-out'!D:D,'Stock In-out'!B:B,"Opening Stock",'Stock In-out'!A:A,'Stock In-out'!A16)</f>
        <v>21</v>
      </c>
      <c r="C16" s="13">
        <f>SUMIFS('Stock In-out'!E:E,'Stock In-out'!C:C,"In",'Stock In-out'!B:B,'Stock In-out'!B16)</f>
        <v>0</v>
      </c>
      <c r="D16" s="13">
        <f>SUMIFS('Stock In-out'!D:D,'Stock In-out'!B:B,"Out",'Stock In-out'!A:A,'Stock In-out'!A16)</f>
        <v>0</v>
      </c>
      <c r="E16" s="13">
        <f t="shared" si="0"/>
        <v>21</v>
      </c>
      <c r="F16" s="14">
        <f>VLOOKUP(A16,'Product Details'!A:C,3,0)*Inventory!E16</f>
        <v>839.79000000000008</v>
      </c>
      <c r="G16" s="14">
        <f>VLOOKUP(A16,'Product Details'!A:C,2,0)*Inventory!E16</f>
        <v>535.29</v>
      </c>
      <c r="H16" s="13">
        <f>VLOOKUP(A16,Table1[#All],6,0)</f>
        <v>9</v>
      </c>
      <c r="I16" s="13" t="str">
        <f t="shared" si="1"/>
        <v>No</v>
      </c>
      <c r="J16" s="13">
        <f>VLOOKUP(A16,Table1[#All],5,0)</f>
        <v>6</v>
      </c>
    </row>
    <row r="17" spans="1:10" ht="15" customHeight="1" x14ac:dyDescent="0.3">
      <c r="A17" s="8" t="s">
        <v>20</v>
      </c>
      <c r="B17" s="13">
        <f>SUMIFS('Stock In-out'!D:D,'Stock In-out'!B:B,"Opening Stock",'Stock In-out'!A:A,'Stock In-out'!A17)</f>
        <v>49</v>
      </c>
      <c r="C17" s="13">
        <f>SUMIFS('Stock In-out'!E:E,'Stock In-out'!C:C,"In",'Stock In-out'!B:B,'Stock In-out'!B17)</f>
        <v>0</v>
      </c>
      <c r="D17" s="13">
        <f>SUMIFS('Stock In-out'!D:D,'Stock In-out'!B:B,"Out",'Stock In-out'!A:A,'Stock In-out'!A17)</f>
        <v>0</v>
      </c>
      <c r="E17" s="13">
        <f t="shared" si="0"/>
        <v>49</v>
      </c>
      <c r="F17" s="14">
        <f>VLOOKUP(A17,'Product Details'!A:C,3,0)*Inventory!E17</f>
        <v>1616.51</v>
      </c>
      <c r="G17" s="14">
        <f>VLOOKUP(A17,'Product Details'!A:C,2,0)*Inventory!E17</f>
        <v>1151.01</v>
      </c>
      <c r="H17" s="13">
        <f>VLOOKUP(A17,Table1[#All],6,0)</f>
        <v>6</v>
      </c>
      <c r="I17" s="13" t="str">
        <f t="shared" si="1"/>
        <v>No</v>
      </c>
      <c r="J17" s="13">
        <f>VLOOKUP(A17,Table1[#All],5,0)</f>
        <v>14</v>
      </c>
    </row>
    <row r="18" spans="1:10" ht="15" customHeight="1" x14ac:dyDescent="0.3">
      <c r="A18" s="8" t="s">
        <v>21</v>
      </c>
      <c r="B18" s="13">
        <f>SUMIFS('Stock In-out'!D:D,'Stock In-out'!B:B,"Opening Stock",'Stock In-out'!A:A,'Stock In-out'!A18)</f>
        <v>28</v>
      </c>
      <c r="C18" s="13">
        <f>SUMIFS('Stock In-out'!E:E,'Stock In-out'!C:C,"In",'Stock In-out'!B:B,'Stock In-out'!B18)</f>
        <v>0</v>
      </c>
      <c r="D18" s="13">
        <f>SUMIFS('Stock In-out'!D:D,'Stock In-out'!B:B,"Out",'Stock In-out'!A:A,'Stock In-out'!A18)</f>
        <v>28</v>
      </c>
      <c r="E18" s="13">
        <f t="shared" si="0"/>
        <v>0</v>
      </c>
      <c r="F18" s="14">
        <f>VLOOKUP(A18,'Product Details'!A:C,3,0)*Inventory!E18</f>
        <v>0</v>
      </c>
      <c r="G18" s="14">
        <f>VLOOKUP(A18,'Product Details'!A:C,2,0)*Inventory!E18</f>
        <v>0</v>
      </c>
      <c r="H18" s="13">
        <f>VLOOKUP(A18,Table1[#All],6,0)</f>
        <v>7</v>
      </c>
      <c r="I18" s="13" t="str">
        <f t="shared" si="1"/>
        <v>Yes</v>
      </c>
      <c r="J18" s="13">
        <f>VLOOKUP(A18,Table1[#All],5,0)</f>
        <v>9</v>
      </c>
    </row>
    <row r="19" spans="1:10" ht="15" customHeight="1" x14ac:dyDescent="0.3">
      <c r="A19" s="8" t="s">
        <v>22</v>
      </c>
      <c r="B19" s="13">
        <f>SUMIFS('Stock In-out'!D:D,'Stock In-out'!B:B,"Opening Stock",'Stock In-out'!A:A,'Stock In-out'!A19)</f>
        <v>34</v>
      </c>
      <c r="C19" s="13">
        <f>SUMIFS('Stock In-out'!E:E,'Stock In-out'!C:C,"In",'Stock In-out'!B:B,'Stock In-out'!B19)</f>
        <v>0</v>
      </c>
      <c r="D19" s="13">
        <f>SUMIFS('Stock In-out'!D:D,'Stock In-out'!B:B,"Out",'Stock In-out'!A:A,'Stock In-out'!A19)</f>
        <v>0</v>
      </c>
      <c r="E19" s="13">
        <f t="shared" si="0"/>
        <v>34</v>
      </c>
      <c r="F19" s="14">
        <f>VLOOKUP(A19,'Product Details'!A:C,3,0)*Inventory!E19</f>
        <v>1359.66</v>
      </c>
      <c r="G19" s="14">
        <f>VLOOKUP(A19,'Product Details'!A:C,2,0)*Inventory!E19</f>
        <v>832.66</v>
      </c>
      <c r="H19" s="13">
        <f>VLOOKUP(A19,Table1[#All],6,0)</f>
        <v>6</v>
      </c>
      <c r="I19" s="13" t="str">
        <f t="shared" si="1"/>
        <v>No</v>
      </c>
      <c r="J19" s="13">
        <f>VLOOKUP(A19,Table1[#All],5,0)</f>
        <v>5</v>
      </c>
    </row>
    <row r="20" spans="1:10" ht="15" customHeight="1" x14ac:dyDescent="0.3">
      <c r="A20" s="8" t="s">
        <v>23</v>
      </c>
      <c r="B20" s="13">
        <f>SUMIFS('Stock In-out'!D:D,'Stock In-out'!B:B,"Opening Stock",'Stock In-out'!A:A,'Stock In-out'!A20)</f>
        <v>31</v>
      </c>
      <c r="C20" s="13">
        <f>SUMIFS('Stock In-out'!E:E,'Stock In-out'!C:C,"In",'Stock In-out'!B:B,'Stock In-out'!B20)</f>
        <v>0</v>
      </c>
      <c r="D20" s="13">
        <f>SUMIFS('Stock In-out'!D:D,'Stock In-out'!B:B,"Out",'Stock In-out'!A:A,'Stock In-out'!A20)</f>
        <v>0</v>
      </c>
      <c r="E20" s="13">
        <f t="shared" si="0"/>
        <v>31</v>
      </c>
      <c r="F20" s="14">
        <f>VLOOKUP(A20,'Product Details'!A:C,3,0)*Inventory!E20</f>
        <v>1239.69</v>
      </c>
      <c r="G20" s="14">
        <f>VLOOKUP(A20,'Product Details'!A:C,2,0)*Inventory!E20</f>
        <v>852.18999999999994</v>
      </c>
      <c r="H20" s="13">
        <f>VLOOKUP(A20,Table1[#All],6,0)</f>
        <v>4</v>
      </c>
      <c r="I20" s="13" t="str">
        <f t="shared" si="1"/>
        <v>No</v>
      </c>
      <c r="J20" s="13">
        <f>VLOOKUP(A20,Table1[#All],5,0)</f>
        <v>9</v>
      </c>
    </row>
    <row r="21" spans="1:10" ht="15" customHeight="1" x14ac:dyDescent="0.3">
      <c r="A21" s="8" t="s">
        <v>24</v>
      </c>
      <c r="B21" s="13">
        <f>SUMIFS('Stock In-out'!D:D,'Stock In-out'!B:B,"Opening Stock",'Stock In-out'!A:A,'Stock In-out'!A21)</f>
        <v>48</v>
      </c>
      <c r="C21" s="13">
        <f>SUMIFS('Stock In-out'!E:E,'Stock In-out'!C:C,"In",'Stock In-out'!B:B,'Stock In-out'!B21)</f>
        <v>0</v>
      </c>
      <c r="D21" s="13">
        <f>SUMIFS('Stock In-out'!D:D,'Stock In-out'!B:B,"Out",'Stock In-out'!A:A,'Stock In-out'!A21)</f>
        <v>0</v>
      </c>
      <c r="E21" s="13">
        <f t="shared" si="0"/>
        <v>48</v>
      </c>
      <c r="F21" s="14">
        <f>VLOOKUP(A21,'Product Details'!A:C,3,0)*Inventory!E21</f>
        <v>1391.52</v>
      </c>
      <c r="G21" s="14">
        <f>VLOOKUP(A21,'Product Details'!A:C,2,0)*Inventory!E21</f>
        <v>743.52</v>
      </c>
      <c r="H21" s="13">
        <f>VLOOKUP(A21,Table1[#All],6,0)</f>
        <v>7</v>
      </c>
      <c r="I21" s="13" t="str">
        <f t="shared" si="1"/>
        <v>No</v>
      </c>
      <c r="J21" s="13">
        <f>VLOOKUP(A21,Table1[#All],5,0)</f>
        <v>7</v>
      </c>
    </row>
    <row r="22" spans="1:10" ht="15" customHeight="1" x14ac:dyDescent="0.3">
      <c r="A22" s="8" t="s">
        <v>25</v>
      </c>
      <c r="B22" s="13">
        <f>SUMIFS('Stock In-out'!D:D,'Stock In-out'!B:B,"Opening Stock",'Stock In-out'!A:A,'Stock In-out'!A22)</f>
        <v>42</v>
      </c>
      <c r="C22" s="13">
        <f>SUMIFS('Stock In-out'!E:E,'Stock In-out'!C:C,"In",'Stock In-out'!B:B,'Stock In-out'!B22)</f>
        <v>0</v>
      </c>
      <c r="D22" s="13">
        <f>SUMIFS('Stock In-out'!D:D,'Stock In-out'!B:B,"Out",'Stock In-out'!A:A,'Stock In-out'!A22)</f>
        <v>0</v>
      </c>
      <c r="E22" s="13">
        <f t="shared" si="0"/>
        <v>42</v>
      </c>
      <c r="F22" s="14">
        <f>VLOOKUP(A22,'Product Details'!A:C,3,0)*Inventory!E22</f>
        <v>1133.58</v>
      </c>
      <c r="G22" s="14">
        <f>VLOOKUP(A22,'Product Details'!A:C,2,0)*Inventory!E22</f>
        <v>734.57999999999993</v>
      </c>
      <c r="H22" s="13">
        <f>VLOOKUP(A22,Table1[#All],6,0)</f>
        <v>7</v>
      </c>
      <c r="I22" s="13" t="str">
        <f t="shared" si="1"/>
        <v>No</v>
      </c>
      <c r="J22" s="13">
        <f>VLOOKUP(A22,Table1[#All],5,0)</f>
        <v>8</v>
      </c>
    </row>
    <row r="23" spans="1:10" ht="15" customHeight="1" x14ac:dyDescent="0.3">
      <c r="A23" s="8" t="s">
        <v>26</v>
      </c>
      <c r="B23" s="13">
        <f>SUMIFS('Stock In-out'!D:D,'Stock In-out'!B:B,"Opening Stock",'Stock In-out'!A:A,'Stock In-out'!A23)</f>
        <v>31</v>
      </c>
      <c r="C23" s="13">
        <f>SUMIFS('Stock In-out'!E:E,'Stock In-out'!C:C,"In",'Stock In-out'!B:B,'Stock In-out'!B23)</f>
        <v>0</v>
      </c>
      <c r="D23" s="13">
        <f>SUMIFS('Stock In-out'!D:D,'Stock In-out'!B:B,"Out",'Stock In-out'!A:A,'Stock In-out'!A23)</f>
        <v>0</v>
      </c>
      <c r="E23" s="13">
        <f t="shared" si="0"/>
        <v>31</v>
      </c>
      <c r="F23" s="14">
        <f>VLOOKUP(A23,'Product Details'!A:C,3,0)*Inventory!E23</f>
        <v>774.68999999999994</v>
      </c>
      <c r="G23" s="14">
        <f>VLOOKUP(A23,'Product Details'!A:C,2,0)*Inventory!E23</f>
        <v>542.18999999999994</v>
      </c>
      <c r="H23" s="13">
        <f>VLOOKUP(A23,Table1[#All],6,0)</f>
        <v>7</v>
      </c>
      <c r="I23" s="13" t="str">
        <f t="shared" si="1"/>
        <v>No</v>
      </c>
      <c r="J23" s="13">
        <f>VLOOKUP(A23,Table1[#All],5,0)</f>
        <v>4</v>
      </c>
    </row>
    <row r="24" spans="1:10" ht="15" customHeight="1" x14ac:dyDescent="0.3">
      <c r="A24" s="8" t="s">
        <v>27</v>
      </c>
      <c r="B24" s="13">
        <f>SUMIFS('Stock In-out'!D:D,'Stock In-out'!B:B,"Opening Stock",'Stock In-out'!A:A,'Stock In-out'!A24)</f>
        <v>29</v>
      </c>
      <c r="C24" s="13">
        <f>SUMIFS('Stock In-out'!E:E,'Stock In-out'!C:C,"In",'Stock In-out'!B:B,'Stock In-out'!B24)</f>
        <v>0</v>
      </c>
      <c r="D24" s="13">
        <f>SUMIFS('Stock In-out'!D:D,'Stock In-out'!B:B,"Out",'Stock In-out'!A:A,'Stock In-out'!A24)</f>
        <v>0</v>
      </c>
      <c r="E24" s="13">
        <f t="shared" si="0"/>
        <v>29</v>
      </c>
      <c r="F24" s="14">
        <f>VLOOKUP(A24,'Product Details'!A:C,3,0)*Inventory!E24</f>
        <v>840.70999999999992</v>
      </c>
      <c r="G24" s="14">
        <f>VLOOKUP(A24,'Product Details'!A:C,2,0)*Inventory!E24</f>
        <v>478.21</v>
      </c>
      <c r="H24" s="13">
        <f>VLOOKUP(A24,Table1[#All],6,0)</f>
        <v>6</v>
      </c>
      <c r="I24" s="13" t="str">
        <f t="shared" si="1"/>
        <v>No</v>
      </c>
      <c r="J24" s="13">
        <f>VLOOKUP(A24,Table1[#All],5,0)</f>
        <v>11</v>
      </c>
    </row>
    <row r="25" spans="1:10" ht="15" customHeight="1" x14ac:dyDescent="0.3">
      <c r="A25" s="8" t="s">
        <v>28</v>
      </c>
      <c r="B25" s="13">
        <f>SUMIFS('Stock In-out'!D:D,'Stock In-out'!B:B,"Opening Stock",'Stock In-out'!A:A,'Stock In-out'!A25)</f>
        <v>34</v>
      </c>
      <c r="C25" s="13">
        <f>SUMIFS('Stock In-out'!E:E,'Stock In-out'!C:C,"In",'Stock In-out'!B:B,'Stock In-out'!B25)</f>
        <v>0</v>
      </c>
      <c r="D25" s="13">
        <f>SUMIFS('Stock In-out'!D:D,'Stock In-out'!B:B,"Out",'Stock In-out'!A:A,'Stock In-out'!A25)</f>
        <v>0</v>
      </c>
      <c r="E25" s="13">
        <f t="shared" si="0"/>
        <v>34</v>
      </c>
      <c r="F25" s="14">
        <f>VLOOKUP(A25,'Product Details'!A:C,3,0)*Inventory!E25</f>
        <v>917.66</v>
      </c>
      <c r="G25" s="14">
        <f>VLOOKUP(A25,'Product Details'!A:C,2,0)*Inventory!E25</f>
        <v>628.66</v>
      </c>
      <c r="H25" s="13">
        <f>VLOOKUP(A25,Table1[#All],6,0)</f>
        <v>6</v>
      </c>
      <c r="I25" s="13" t="str">
        <f t="shared" si="1"/>
        <v>No</v>
      </c>
      <c r="J25" s="13">
        <f>VLOOKUP(A25,Table1[#All],5,0)</f>
        <v>11</v>
      </c>
    </row>
    <row r="26" spans="1:10" ht="15" customHeight="1" x14ac:dyDescent="0.3">
      <c r="A26" s="8" t="s">
        <v>29</v>
      </c>
      <c r="B26" s="13">
        <f>SUMIFS('Stock In-out'!D:D,'Stock In-out'!B:B,"Opening Stock",'Stock In-out'!A:A,'Stock In-out'!A26)</f>
        <v>20</v>
      </c>
      <c r="C26" s="13">
        <f>SUMIFS('Stock In-out'!E:E,'Stock In-out'!C:C,"In",'Stock In-out'!B:B,'Stock In-out'!B26)</f>
        <v>0</v>
      </c>
      <c r="D26" s="13">
        <f>SUMIFS('Stock In-out'!D:D,'Stock In-out'!B:B,"Out",'Stock In-out'!A:A,'Stock In-out'!A26)</f>
        <v>0</v>
      </c>
      <c r="E26" s="13">
        <f t="shared" si="0"/>
        <v>20</v>
      </c>
      <c r="F26" s="14">
        <f>VLOOKUP(A26,'Product Details'!A:C,3,0)*Inventory!E26</f>
        <v>539.79999999999995</v>
      </c>
      <c r="G26" s="14">
        <f>VLOOKUP(A26,'Product Details'!A:C,2,0)*Inventory!E26</f>
        <v>289.8</v>
      </c>
      <c r="H26" s="13">
        <f>VLOOKUP(A26,Table1[#All],6,0)</f>
        <v>7</v>
      </c>
      <c r="I26" s="13" t="str">
        <f t="shared" si="1"/>
        <v>No</v>
      </c>
      <c r="J26" s="13">
        <f>VLOOKUP(A26,Table1[#All],5,0)</f>
        <v>13</v>
      </c>
    </row>
    <row r="27" spans="1:10" ht="15" customHeight="1" x14ac:dyDescent="0.3">
      <c r="A27" s="8" t="s">
        <v>30</v>
      </c>
      <c r="B27" s="13">
        <f>SUMIFS('Stock In-out'!D:D,'Stock In-out'!B:B,"Opening Stock",'Stock In-out'!A:A,'Stock In-out'!A27)</f>
        <v>34</v>
      </c>
      <c r="C27" s="13">
        <f>SUMIFS('Stock In-out'!E:E,'Stock In-out'!C:C,"In",'Stock In-out'!B:B,'Stock In-out'!B27)</f>
        <v>0</v>
      </c>
      <c r="D27" s="13">
        <f>SUMIFS('Stock In-out'!D:D,'Stock In-out'!B:B,"Out",'Stock In-out'!A:A,'Stock In-out'!A27)</f>
        <v>0</v>
      </c>
      <c r="E27" s="13">
        <f t="shared" si="0"/>
        <v>34</v>
      </c>
      <c r="F27" s="14">
        <f>VLOOKUP(A27,'Product Details'!A:C,3,0)*Inventory!E27</f>
        <v>1019.66</v>
      </c>
      <c r="G27" s="14">
        <f>VLOOKUP(A27,'Product Details'!A:C,2,0)*Inventory!E27</f>
        <v>696.66</v>
      </c>
      <c r="H27" s="13">
        <f>VLOOKUP(A27,Table1[#All],6,0)</f>
        <v>8</v>
      </c>
      <c r="I27" s="13" t="str">
        <f t="shared" si="1"/>
        <v>No</v>
      </c>
      <c r="J27" s="13">
        <f>VLOOKUP(A27,Table1[#All],5,0)</f>
        <v>12</v>
      </c>
    </row>
    <row r="28" spans="1:10" ht="15" customHeight="1" x14ac:dyDescent="0.3">
      <c r="A28" s="8" t="s">
        <v>31</v>
      </c>
      <c r="B28" s="13">
        <f>SUMIFS('Stock In-out'!D:D,'Stock In-out'!B:B,"Opening Stock",'Stock In-out'!A:A,'Stock In-out'!A28)</f>
        <v>42</v>
      </c>
      <c r="C28" s="13">
        <f>SUMIFS('Stock In-out'!E:E,'Stock In-out'!C:C,"In",'Stock In-out'!B:B,'Stock In-out'!B28)</f>
        <v>0</v>
      </c>
      <c r="D28" s="13">
        <f>SUMIFS('Stock In-out'!D:D,'Stock In-out'!B:B,"Out",'Stock In-out'!A:A,'Stock In-out'!A28)</f>
        <v>0</v>
      </c>
      <c r="E28" s="13">
        <f t="shared" si="0"/>
        <v>42</v>
      </c>
      <c r="F28" s="14">
        <f>VLOOKUP(A28,'Product Details'!A:C,3,0)*Inventory!E28</f>
        <v>965.57999999999993</v>
      </c>
      <c r="G28" s="14">
        <f>VLOOKUP(A28,'Product Details'!A:C,2,0)*Inventory!E28</f>
        <v>524.58000000000004</v>
      </c>
      <c r="H28" s="13">
        <f>VLOOKUP(A28,Table1[#All],6,0)</f>
        <v>9</v>
      </c>
      <c r="I28" s="13" t="str">
        <f t="shared" si="1"/>
        <v>No</v>
      </c>
      <c r="J28" s="13">
        <f>VLOOKUP(A28,Table1[#All],5,0)</f>
        <v>6</v>
      </c>
    </row>
    <row r="29" spans="1:10" ht="15" customHeight="1" x14ac:dyDescent="0.3">
      <c r="A29" s="8" t="s">
        <v>32</v>
      </c>
      <c r="B29" s="13">
        <f>SUMIFS('Stock In-out'!D:D,'Stock In-out'!B:B,"Opening Stock",'Stock In-out'!A:A,'Stock In-out'!A29)</f>
        <v>36</v>
      </c>
      <c r="C29" s="13">
        <f>SUMIFS('Stock In-out'!E:E,'Stock In-out'!C:C,"In",'Stock In-out'!B:B,'Stock In-out'!B29)</f>
        <v>0</v>
      </c>
      <c r="D29" s="13">
        <f>SUMIFS('Stock In-out'!D:D,'Stock In-out'!B:B,"Out",'Stock In-out'!A:A,'Stock In-out'!A29)</f>
        <v>0</v>
      </c>
      <c r="E29" s="13">
        <f t="shared" si="0"/>
        <v>36</v>
      </c>
      <c r="F29" s="14">
        <f>VLOOKUP(A29,'Product Details'!A:C,3,0)*Inventory!E29</f>
        <v>1151.6399999999999</v>
      </c>
      <c r="G29" s="14">
        <f>VLOOKUP(A29,'Product Details'!A:C,2,0)*Inventory!E29</f>
        <v>737.64</v>
      </c>
      <c r="H29" s="13">
        <f>VLOOKUP(A29,Table1[#All],6,0)</f>
        <v>7</v>
      </c>
      <c r="I29" s="13" t="str">
        <f t="shared" si="1"/>
        <v>No</v>
      </c>
      <c r="J29" s="13">
        <f>VLOOKUP(A29,Table1[#All],5,0)</f>
        <v>5</v>
      </c>
    </row>
    <row r="30" spans="1:10" ht="15" customHeight="1" x14ac:dyDescent="0.3">
      <c r="A30" s="8" t="s">
        <v>33</v>
      </c>
      <c r="B30" s="13">
        <f>SUMIFS('Stock In-out'!D:D,'Stock In-out'!B:B,"Opening Stock",'Stock In-out'!A:A,'Stock In-out'!A30)</f>
        <v>40</v>
      </c>
      <c r="C30" s="13">
        <f>SUMIFS('Stock In-out'!E:E,'Stock In-out'!C:C,"In",'Stock In-out'!B:B,'Stock In-out'!B30)</f>
        <v>0</v>
      </c>
      <c r="D30" s="13">
        <f>SUMIFS('Stock In-out'!D:D,'Stock In-out'!B:B,"Out",'Stock In-out'!A:A,'Stock In-out'!A30)</f>
        <v>0</v>
      </c>
      <c r="E30" s="13">
        <f t="shared" si="0"/>
        <v>40</v>
      </c>
      <c r="F30" s="14">
        <f>VLOOKUP(A30,'Product Details'!A:C,3,0)*Inventory!E30</f>
        <v>1039.5999999999999</v>
      </c>
      <c r="G30" s="14">
        <f>VLOOKUP(A30,'Product Details'!A:C,2,0)*Inventory!E30</f>
        <v>659.59999999999991</v>
      </c>
      <c r="H30" s="13">
        <f>VLOOKUP(A30,Table1[#All],6,0)</f>
        <v>4</v>
      </c>
      <c r="I30" s="13" t="str">
        <f t="shared" si="1"/>
        <v>No</v>
      </c>
      <c r="J30" s="13">
        <f>VLOOKUP(A30,Table1[#All],5,0)</f>
        <v>13</v>
      </c>
    </row>
    <row r="31" spans="1:10" ht="15" customHeight="1" x14ac:dyDescent="0.3">
      <c r="A31" s="8" t="s">
        <v>34</v>
      </c>
      <c r="B31" s="13">
        <f>SUMIFS('Stock In-out'!D:D,'Stock In-out'!B:B,"Opening Stock",'Stock In-out'!A:A,'Stock In-out'!A31)</f>
        <v>32</v>
      </c>
      <c r="C31" s="13">
        <f>SUMIFS('Stock In-out'!E:E,'Stock In-out'!C:C,"In",'Stock In-out'!B:B,'Stock In-out'!B31)</f>
        <v>0</v>
      </c>
      <c r="D31" s="13">
        <f>SUMIFS('Stock In-out'!D:D,'Stock In-out'!B:B,"Out",'Stock In-out'!A:A,'Stock In-out'!A31)</f>
        <v>0</v>
      </c>
      <c r="E31" s="13">
        <f t="shared" si="0"/>
        <v>32</v>
      </c>
      <c r="F31" s="14">
        <f>VLOOKUP(A31,'Product Details'!A:C,3,0)*Inventory!E31</f>
        <v>863.68</v>
      </c>
      <c r="G31" s="14">
        <f>VLOOKUP(A31,'Product Details'!A:C,2,0)*Inventory!E31</f>
        <v>591.67999999999995</v>
      </c>
      <c r="H31" s="13">
        <f>VLOOKUP(A31,Table1[#All],6,0)</f>
        <v>9</v>
      </c>
      <c r="I31" s="13" t="str">
        <f t="shared" si="1"/>
        <v>No</v>
      </c>
      <c r="J31" s="13">
        <f>VLOOKUP(A31,Table1[#All],5,0)</f>
        <v>8</v>
      </c>
    </row>
    <row r="32" spans="1:10" ht="15" customHeight="1" x14ac:dyDescent="0.3">
      <c r="A32" s="8" t="s">
        <v>35</v>
      </c>
      <c r="B32" s="13">
        <f>SUMIFS('Stock In-out'!D:D,'Stock In-out'!B:B,"Opening Stock",'Stock In-out'!A:A,'Stock In-out'!A32)</f>
        <v>44</v>
      </c>
      <c r="C32" s="13">
        <f>SUMIFS('Stock In-out'!E:E,'Stock In-out'!C:C,"In",'Stock In-out'!B:B,'Stock In-out'!B32)</f>
        <v>0</v>
      </c>
      <c r="D32" s="13">
        <f>SUMIFS('Stock In-out'!D:D,'Stock In-out'!B:B,"Out",'Stock In-out'!A:A,'Stock In-out'!A32)</f>
        <v>33</v>
      </c>
      <c r="E32" s="13">
        <f t="shared" si="0"/>
        <v>11</v>
      </c>
      <c r="F32" s="14">
        <f>VLOOKUP(A32,'Product Details'!A:C,3,0)*Inventory!E32</f>
        <v>329.89</v>
      </c>
      <c r="G32" s="14">
        <f>VLOOKUP(A32,'Product Details'!A:C,2,0)*Inventory!E32</f>
        <v>225.39</v>
      </c>
      <c r="H32" s="13">
        <f>VLOOKUP(A32,Table1[#All],6,0)</f>
        <v>7</v>
      </c>
      <c r="I32" s="13" t="str">
        <f t="shared" si="1"/>
        <v>No</v>
      </c>
      <c r="J32" s="13">
        <f>VLOOKUP(A32,Table1[#All],5,0)</f>
        <v>4</v>
      </c>
    </row>
    <row r="33" spans="1:10" ht="15" customHeight="1" x14ac:dyDescent="0.3">
      <c r="A33" s="8" t="s">
        <v>36</v>
      </c>
      <c r="B33" s="13">
        <f>SUMIFS('Stock In-out'!D:D,'Stock In-out'!B:B,"Opening Stock",'Stock In-out'!A:A,'Stock In-out'!A33)</f>
        <v>39</v>
      </c>
      <c r="C33" s="13">
        <f>SUMIFS('Stock In-out'!E:E,'Stock In-out'!C:C,"In",'Stock In-out'!B:B,'Stock In-out'!B33)</f>
        <v>0</v>
      </c>
      <c r="D33" s="13">
        <f>SUMIFS('Stock In-out'!D:D,'Stock In-out'!B:B,"Out",'Stock In-out'!A:A,'Stock In-out'!A33)</f>
        <v>0</v>
      </c>
      <c r="E33" s="13">
        <f t="shared" si="0"/>
        <v>39</v>
      </c>
      <c r="F33" s="14">
        <f>VLOOKUP(A33,'Product Details'!A:C,3,0)*Inventory!E33</f>
        <v>1169.6099999999999</v>
      </c>
      <c r="G33" s="14">
        <f>VLOOKUP(A33,'Product Details'!A:C,2,0)*Inventory!E33</f>
        <v>857.6099999999999</v>
      </c>
      <c r="H33" s="13">
        <f>VLOOKUP(A33,Table1[#All],6,0)</f>
        <v>4</v>
      </c>
      <c r="I33" s="13" t="str">
        <f t="shared" si="1"/>
        <v>No</v>
      </c>
      <c r="J33" s="13">
        <f>VLOOKUP(A33,Table1[#All],5,0)</f>
        <v>9</v>
      </c>
    </row>
    <row r="34" spans="1:10" ht="15" customHeight="1" x14ac:dyDescent="0.3">
      <c r="A34" s="8" t="s">
        <v>37</v>
      </c>
      <c r="B34" s="13">
        <f>SUMIFS('Stock In-out'!D:D,'Stock In-out'!B:B,"Opening Stock",'Stock In-out'!A:A,'Stock In-out'!A34)</f>
        <v>20</v>
      </c>
      <c r="C34" s="13">
        <f>SUMIFS('Stock In-out'!E:E,'Stock In-out'!C:C,"In",'Stock In-out'!B:B,'Stock In-out'!B34)</f>
        <v>0</v>
      </c>
      <c r="D34" s="13">
        <f>SUMIFS('Stock In-out'!D:D,'Stock In-out'!B:B,"Out",'Stock In-out'!A:A,'Stock In-out'!A34)</f>
        <v>0</v>
      </c>
      <c r="E34" s="13">
        <f t="shared" si="0"/>
        <v>20</v>
      </c>
      <c r="F34" s="14">
        <f>VLOOKUP(A34,'Product Details'!A:C,3,0)*Inventory!E34</f>
        <v>639.79999999999995</v>
      </c>
      <c r="G34" s="14">
        <f>VLOOKUP(A34,'Product Details'!A:C,2,0)*Inventory!E34</f>
        <v>379.79999999999995</v>
      </c>
      <c r="H34" s="13">
        <f>VLOOKUP(A34,Table1[#All],6,0)</f>
        <v>9</v>
      </c>
      <c r="I34" s="13" t="str">
        <f t="shared" si="1"/>
        <v>No</v>
      </c>
      <c r="J34" s="13">
        <f>VLOOKUP(A34,Table1[#All],5,0)</f>
        <v>4</v>
      </c>
    </row>
    <row r="35" spans="1:10" ht="15" customHeight="1" x14ac:dyDescent="0.3">
      <c r="A35" s="8" t="s">
        <v>38</v>
      </c>
      <c r="B35" s="13">
        <f>SUMIFS('Stock In-out'!D:D,'Stock In-out'!B:B,"Opening Stock",'Stock In-out'!A:A,'Stock In-out'!A35)</f>
        <v>30</v>
      </c>
      <c r="C35" s="13">
        <f>SUMIFS('Stock In-out'!E:E,'Stock In-out'!C:C,"In",'Stock In-out'!B:B,'Stock In-out'!B35)</f>
        <v>0</v>
      </c>
      <c r="D35" s="13">
        <f>SUMIFS('Stock In-out'!D:D,'Stock In-out'!B:B,"Out",'Stock In-out'!A:A,'Stock In-out'!A35)</f>
        <v>15</v>
      </c>
      <c r="E35" s="13">
        <f t="shared" si="0"/>
        <v>15</v>
      </c>
      <c r="F35" s="14">
        <f>VLOOKUP(A35,'Product Details'!A:C,3,0)*Inventory!E35</f>
        <v>389.84999999999997</v>
      </c>
      <c r="G35" s="14">
        <f>VLOOKUP(A35,'Product Details'!A:C,2,0)*Inventory!E35</f>
        <v>254.84999999999997</v>
      </c>
      <c r="H35" s="13">
        <f>VLOOKUP(A35,Table1[#All],6,0)</f>
        <v>6</v>
      </c>
      <c r="I35" s="13" t="str">
        <f t="shared" si="1"/>
        <v>No</v>
      </c>
      <c r="J35" s="13">
        <f>VLOOKUP(A35,Table1[#All],5,0)</f>
        <v>15</v>
      </c>
    </row>
    <row r="36" spans="1:10" ht="15" customHeight="1" x14ac:dyDescent="0.3">
      <c r="A36" s="8" t="s">
        <v>39</v>
      </c>
      <c r="B36" s="13">
        <f>SUMIFS('Stock In-out'!D:D,'Stock In-out'!B:B,"Opening Stock",'Stock In-out'!A:A,'Stock In-out'!A36)</f>
        <v>21</v>
      </c>
      <c r="C36" s="13">
        <f>SUMIFS('Stock In-out'!E:E,'Stock In-out'!C:C,"In",'Stock In-out'!B:B,'Stock In-out'!B36)</f>
        <v>0</v>
      </c>
      <c r="D36" s="13">
        <f>SUMIFS('Stock In-out'!D:D,'Stock In-out'!B:B,"Out",'Stock In-out'!A:A,'Stock In-out'!A36)</f>
        <v>0</v>
      </c>
      <c r="E36" s="13">
        <f t="shared" si="0"/>
        <v>21</v>
      </c>
      <c r="F36" s="14">
        <f>VLOOKUP(A36,'Product Details'!A:C,3,0)*Inventory!E36</f>
        <v>692.79000000000008</v>
      </c>
      <c r="G36" s="14">
        <f>VLOOKUP(A36,'Product Details'!A:C,2,0)*Inventory!E36</f>
        <v>461.78999999999996</v>
      </c>
      <c r="H36" s="13">
        <f>VLOOKUP(A36,Table1[#All],6,0)</f>
        <v>7</v>
      </c>
      <c r="I36" s="13" t="str">
        <f t="shared" si="1"/>
        <v>No</v>
      </c>
      <c r="J36" s="13">
        <f>VLOOKUP(A36,Table1[#All],5,0)</f>
        <v>4</v>
      </c>
    </row>
    <row r="37" spans="1:10" ht="15" customHeight="1" x14ac:dyDescent="0.3">
      <c r="A37" s="8" t="s">
        <v>41</v>
      </c>
      <c r="B37" s="13">
        <f>SUMIFS('Stock In-out'!D:D,'Stock In-out'!B:B,"Opening Stock",'Stock In-out'!A:A,'Stock In-out'!A37)</f>
        <v>20</v>
      </c>
      <c r="C37" s="13">
        <f>SUMIFS('Stock In-out'!E:E,'Stock In-out'!C:C,"In",'Stock In-out'!B:B,'Stock In-out'!B37)</f>
        <v>0</v>
      </c>
      <c r="D37" s="13">
        <f>SUMIFS('Stock In-out'!D:D,'Stock In-out'!B:B,"Out",'Stock In-out'!A:A,'Stock In-out'!A37)</f>
        <v>0</v>
      </c>
      <c r="E37" s="13">
        <f t="shared" si="0"/>
        <v>20</v>
      </c>
      <c r="F37" s="14">
        <f>VLOOKUP(A37,'Product Details'!A:C,3,0)*Inventory!E37</f>
        <v>499.79999999999995</v>
      </c>
      <c r="G37" s="14">
        <f>VLOOKUP(A37,'Product Details'!A:C,2,0)*Inventory!E37</f>
        <v>299.8</v>
      </c>
      <c r="H37" s="13">
        <f>VLOOKUP(A37,Table1[#All],6,0)</f>
        <v>6</v>
      </c>
      <c r="I37" s="13" t="str">
        <f t="shared" si="1"/>
        <v>No</v>
      </c>
      <c r="J37" s="13">
        <f>VLOOKUP(A37,Table1[#All],5,0)</f>
        <v>3</v>
      </c>
    </row>
    <row r="38" spans="1:10" ht="15" customHeight="1" x14ac:dyDescent="0.3">
      <c r="A38" s="8" t="s">
        <v>42</v>
      </c>
      <c r="B38" s="13">
        <f>SUMIFS('Stock In-out'!D:D,'Stock In-out'!B:B,"Opening Stock",'Stock In-out'!A:A,'Stock In-out'!A38)</f>
        <v>40</v>
      </c>
      <c r="C38" s="13">
        <f>SUMIFS('Stock In-out'!E:E,'Stock In-out'!C:C,"In",'Stock In-out'!B:B,'Stock In-out'!B38)</f>
        <v>0</v>
      </c>
      <c r="D38" s="13">
        <f>SUMIFS('Stock In-out'!D:D,'Stock In-out'!B:B,"Out",'Stock In-out'!A:A,'Stock In-out'!A38)</f>
        <v>0</v>
      </c>
      <c r="E38" s="13">
        <f t="shared" si="0"/>
        <v>40</v>
      </c>
      <c r="F38" s="14">
        <f>VLOOKUP(A38,'Product Details'!A:C,3,0)*Inventory!E38</f>
        <v>1079.5999999999999</v>
      </c>
      <c r="G38" s="14">
        <f>VLOOKUP(A38,'Product Details'!A:C,2,0)*Inventory!E38</f>
        <v>579.6</v>
      </c>
      <c r="H38" s="13">
        <f>VLOOKUP(A38,Table1[#All],6,0)</f>
        <v>4</v>
      </c>
      <c r="I38" s="13" t="str">
        <f t="shared" si="1"/>
        <v>No</v>
      </c>
      <c r="J38" s="13">
        <f>VLOOKUP(A38,Table1[#All],5,0)</f>
        <v>10</v>
      </c>
    </row>
    <row r="39" spans="1:10" ht="15" customHeight="1" x14ac:dyDescent="0.3">
      <c r="A39" s="8" t="s">
        <v>43</v>
      </c>
      <c r="B39" s="13">
        <f>SUMIFS('Stock In-out'!D:D,'Stock In-out'!B:B,"Opening Stock",'Stock In-out'!A:A,'Stock In-out'!A39)</f>
        <v>24</v>
      </c>
      <c r="C39" s="13">
        <f>SUMIFS('Stock In-out'!E:E,'Stock In-out'!C:C,"In",'Stock In-out'!B:B,'Stock In-out'!B39)</f>
        <v>0</v>
      </c>
      <c r="D39" s="13">
        <f>SUMIFS('Stock In-out'!D:D,'Stock In-out'!B:B,"Out",'Stock In-out'!A:A,'Stock In-out'!A39)</f>
        <v>24</v>
      </c>
      <c r="E39" s="13">
        <f t="shared" si="0"/>
        <v>0</v>
      </c>
      <c r="F39" s="14">
        <f>VLOOKUP(A39,'Product Details'!A:C,3,0)*Inventory!E39</f>
        <v>0</v>
      </c>
      <c r="G39" s="14">
        <f>VLOOKUP(A39,'Product Details'!A:C,2,0)*Inventory!E39</f>
        <v>0</v>
      </c>
      <c r="H39" s="13">
        <f>VLOOKUP(A39,Table1[#All],6,0)</f>
        <v>7</v>
      </c>
      <c r="I39" s="13" t="str">
        <f t="shared" si="1"/>
        <v>Yes</v>
      </c>
      <c r="J39" s="13">
        <f>VLOOKUP(A39,Table1[#All],5,0)</f>
        <v>12</v>
      </c>
    </row>
    <row r="40" spans="1:10" ht="15" customHeight="1" x14ac:dyDescent="0.3">
      <c r="A40" s="8" t="s">
        <v>44</v>
      </c>
      <c r="B40" s="13">
        <f>SUMIFS('Stock In-out'!D:D,'Stock In-out'!B:B,"Opening Stock",'Stock In-out'!A:A,'Stock In-out'!A40)</f>
        <v>28</v>
      </c>
      <c r="C40" s="13">
        <f>SUMIFS('Stock In-out'!E:E,'Stock In-out'!C:C,"In",'Stock In-out'!B:B,'Stock In-out'!B40)</f>
        <v>0</v>
      </c>
      <c r="D40" s="13">
        <f>SUMIFS('Stock In-out'!D:D,'Stock In-out'!B:B,"Out",'Stock In-out'!A:A,'Stock In-out'!A40)</f>
        <v>0</v>
      </c>
      <c r="E40" s="13">
        <f t="shared" si="0"/>
        <v>28</v>
      </c>
      <c r="F40" s="14">
        <f>VLOOKUP(A40,'Product Details'!A:C,3,0)*Inventory!E40</f>
        <v>419.72</v>
      </c>
      <c r="G40" s="14">
        <f>VLOOKUP(A40,'Product Details'!A:C,2,0)*Inventory!E40</f>
        <v>251.72</v>
      </c>
      <c r="H40" s="13">
        <f>VLOOKUP(A40,Table1[#All],6,0)</f>
        <v>7</v>
      </c>
      <c r="I40" s="13" t="str">
        <f t="shared" si="1"/>
        <v>No</v>
      </c>
      <c r="J40" s="13">
        <f>VLOOKUP(A40,Table1[#All],5,0)</f>
        <v>3</v>
      </c>
    </row>
    <row r="41" spans="1:10" ht="15" customHeight="1" x14ac:dyDescent="0.3">
      <c r="A41" s="8" t="s">
        <v>45</v>
      </c>
      <c r="B41" s="13">
        <f>SUMIFS('Stock In-out'!D:D,'Stock In-out'!B:B,"Opening Stock",'Stock In-out'!A:A,'Stock In-out'!A41)</f>
        <v>39</v>
      </c>
      <c r="C41" s="13">
        <f>SUMIFS('Stock In-out'!E:E,'Stock In-out'!C:C,"In",'Stock In-out'!B:B,'Stock In-out'!B41)</f>
        <v>0</v>
      </c>
      <c r="D41" s="13">
        <f>SUMIFS('Stock In-out'!D:D,'Stock In-out'!B:B,"Out",'Stock In-out'!A:A,'Stock In-out'!A41)</f>
        <v>0</v>
      </c>
      <c r="E41" s="13">
        <f t="shared" si="0"/>
        <v>39</v>
      </c>
      <c r="F41" s="14">
        <f>VLOOKUP(A41,'Product Details'!A:C,3,0)*Inventory!E41</f>
        <v>584.61</v>
      </c>
      <c r="G41" s="14">
        <f>VLOOKUP(A41,'Product Details'!A:C,2,0)*Inventory!E41</f>
        <v>350.61</v>
      </c>
      <c r="H41" s="13">
        <f>VLOOKUP(A41,Table1[#All],6,0)</f>
        <v>7</v>
      </c>
      <c r="I41" s="13" t="str">
        <f t="shared" si="1"/>
        <v>No</v>
      </c>
      <c r="J41" s="13">
        <f>VLOOKUP(A41,Table1[#All],5,0)</f>
        <v>1</v>
      </c>
    </row>
    <row r="42" spans="1:10" ht="15" customHeight="1" x14ac:dyDescent="0.3">
      <c r="A42" s="8" t="s">
        <v>46</v>
      </c>
      <c r="B42" s="13">
        <f>SUMIFS('Stock In-out'!D:D,'Stock In-out'!B:B,"Opening Stock",'Stock In-out'!A:A,'Stock In-out'!A42)</f>
        <v>48</v>
      </c>
      <c r="C42" s="13">
        <f>SUMIFS('Stock In-out'!E:E,'Stock In-out'!C:C,"In",'Stock In-out'!B:B,'Stock In-out'!B42)</f>
        <v>0</v>
      </c>
      <c r="D42" s="13">
        <f>SUMIFS('Stock In-out'!D:D,'Stock In-out'!B:B,"Out",'Stock In-out'!A:A,'Stock In-out'!A42)</f>
        <v>0</v>
      </c>
      <c r="E42" s="13">
        <f t="shared" si="0"/>
        <v>48</v>
      </c>
      <c r="F42" s="14">
        <f>VLOOKUP(A42,'Product Details'!A:C,3,0)*Inventory!E42</f>
        <v>719.52</v>
      </c>
      <c r="G42" s="14">
        <f>VLOOKUP(A42,'Product Details'!A:C,2,0)*Inventory!E42</f>
        <v>383.52</v>
      </c>
      <c r="H42" s="13">
        <f>VLOOKUP(A42,Table1[#All],6,0)</f>
        <v>6</v>
      </c>
      <c r="I42" s="13" t="str">
        <f t="shared" si="1"/>
        <v>No</v>
      </c>
      <c r="J42" s="13">
        <f>VLOOKUP(A42,Table1[#All],5,0)</f>
        <v>9</v>
      </c>
    </row>
    <row r="43" spans="1:10" ht="15" customHeight="1" x14ac:dyDescent="0.3">
      <c r="A43" s="8" t="s">
        <v>47</v>
      </c>
      <c r="B43" s="13">
        <f>SUMIFS('Stock In-out'!D:D,'Stock In-out'!B:B,"Opening Stock",'Stock In-out'!A:A,'Stock In-out'!A43)</f>
        <v>39</v>
      </c>
      <c r="C43" s="13">
        <f>SUMIFS('Stock In-out'!E:E,'Stock In-out'!C:C,"In",'Stock In-out'!B:B,'Stock In-out'!B43)</f>
        <v>0</v>
      </c>
      <c r="D43" s="13">
        <f>SUMIFS('Stock In-out'!D:D,'Stock In-out'!B:B,"Out",'Stock In-out'!A:A,'Stock In-out'!A43)</f>
        <v>29</v>
      </c>
      <c r="E43" s="13">
        <f t="shared" si="0"/>
        <v>10</v>
      </c>
      <c r="F43" s="14">
        <f>VLOOKUP(A43,'Product Details'!A:C,3,0)*Inventory!E43</f>
        <v>169.89999999999998</v>
      </c>
      <c r="G43" s="14">
        <f>VLOOKUP(A43,'Product Details'!A:C,2,0)*Inventory!E43</f>
        <v>109.9</v>
      </c>
      <c r="H43" s="13">
        <f>VLOOKUP(A43,Table1[#All],6,0)</f>
        <v>6</v>
      </c>
      <c r="I43" s="13" t="str">
        <f t="shared" si="1"/>
        <v>No</v>
      </c>
      <c r="J43" s="13">
        <f>VLOOKUP(A43,Table1[#All],5,0)</f>
        <v>6</v>
      </c>
    </row>
    <row r="44" spans="1:10" ht="15" customHeight="1" x14ac:dyDescent="0.3">
      <c r="A44" s="8" t="s">
        <v>48</v>
      </c>
      <c r="B44" s="13">
        <f>SUMIFS('Stock In-out'!D:D,'Stock In-out'!B:B,"Opening Stock",'Stock In-out'!A:A,'Stock In-out'!A44)</f>
        <v>20</v>
      </c>
      <c r="C44" s="13">
        <f>SUMIFS('Stock In-out'!E:E,'Stock In-out'!C:C,"In",'Stock In-out'!B:B,'Stock In-out'!B44)</f>
        <v>0</v>
      </c>
      <c r="D44" s="13">
        <f>SUMIFS('Stock In-out'!D:D,'Stock In-out'!B:B,"Out",'Stock In-out'!A:A,'Stock In-out'!A44)</f>
        <v>0</v>
      </c>
      <c r="E44" s="13">
        <f t="shared" si="0"/>
        <v>20</v>
      </c>
      <c r="F44" s="14">
        <f>VLOOKUP(A44,'Product Details'!A:C,3,0)*Inventory!E44</f>
        <v>219.8</v>
      </c>
      <c r="G44" s="14">
        <f>VLOOKUP(A44,'Product Details'!A:C,2,0)*Inventory!E44</f>
        <v>119.80000000000001</v>
      </c>
      <c r="H44" s="13">
        <f>VLOOKUP(A44,Table1[#All],6,0)</f>
        <v>7</v>
      </c>
      <c r="I44" s="13" t="str">
        <f t="shared" si="1"/>
        <v>No</v>
      </c>
      <c r="J44" s="13">
        <f>VLOOKUP(A44,Table1[#All],5,0)</f>
        <v>4</v>
      </c>
    </row>
    <row r="45" spans="1:10" ht="15" customHeight="1" x14ac:dyDescent="0.3">
      <c r="A45" s="8" t="s">
        <v>49</v>
      </c>
      <c r="B45" s="13">
        <f>SUMIFS('Stock In-out'!D:D,'Stock In-out'!B:B,"Opening Stock",'Stock In-out'!A:A,'Stock In-out'!A45)</f>
        <v>40</v>
      </c>
      <c r="C45" s="13">
        <f>SUMIFS('Stock In-out'!E:E,'Stock In-out'!C:C,"In",'Stock In-out'!B:B,'Stock In-out'!B45)</f>
        <v>0</v>
      </c>
      <c r="D45" s="13">
        <f>SUMIFS('Stock In-out'!D:D,'Stock In-out'!B:B,"Out",'Stock In-out'!A:A,'Stock In-out'!A45)</f>
        <v>0</v>
      </c>
      <c r="E45" s="13">
        <f t="shared" si="0"/>
        <v>40</v>
      </c>
      <c r="F45" s="14">
        <f>VLOOKUP(A45,'Product Details'!A:C,3,0)*Inventory!E45</f>
        <v>599.6</v>
      </c>
      <c r="G45" s="14">
        <f>VLOOKUP(A45,'Product Details'!A:C,2,0)*Inventory!E45</f>
        <v>319.60000000000002</v>
      </c>
      <c r="H45" s="13">
        <f>VLOOKUP(A45,Table1[#All],6,0)</f>
        <v>6</v>
      </c>
      <c r="I45" s="13" t="str">
        <f t="shared" si="1"/>
        <v>No</v>
      </c>
      <c r="J45" s="13">
        <f>VLOOKUP(A45,Table1[#All],5,0)</f>
        <v>9</v>
      </c>
    </row>
    <row r="46" spans="1:10" ht="15" customHeight="1" x14ac:dyDescent="0.3">
      <c r="A46" s="8" t="s">
        <v>50</v>
      </c>
      <c r="B46" s="13">
        <f>SUMIFS('Stock In-out'!D:D,'Stock In-out'!B:B,"Opening Stock",'Stock In-out'!A:A,'Stock In-out'!A46)</f>
        <v>80</v>
      </c>
      <c r="C46" s="13">
        <f>SUMIFS('Stock In-out'!E:E,'Stock In-out'!C:C,"In",'Stock In-out'!B:B,'Stock In-out'!B46)</f>
        <v>0</v>
      </c>
      <c r="D46" s="13">
        <f>SUMIFS('Stock In-out'!D:D,'Stock In-out'!B:B,"Out",'Stock In-out'!A:A,'Stock In-out'!A46)</f>
        <v>15</v>
      </c>
      <c r="E46" s="13">
        <f t="shared" si="0"/>
        <v>65</v>
      </c>
      <c r="F46" s="14">
        <f>VLOOKUP(A46,'Product Details'!A:C,3,0)*Inventory!E46</f>
        <v>779.35</v>
      </c>
      <c r="G46" s="14">
        <f>VLOOKUP(A46,'Product Details'!A:C,2,0)*Inventory!E46</f>
        <v>324.35000000000002</v>
      </c>
      <c r="H46" s="13">
        <f>VLOOKUP(A46,Table1[#All],6,0)</f>
        <v>4</v>
      </c>
      <c r="I46" s="13" t="str">
        <f t="shared" si="1"/>
        <v>No</v>
      </c>
      <c r="J46" s="13">
        <f>VLOOKUP(A46,Table1[#All],5,0)</f>
        <v>4</v>
      </c>
    </row>
    <row r="47" spans="1:10" ht="15" customHeight="1" x14ac:dyDescent="0.3">
      <c r="A47" s="8" t="s">
        <v>51</v>
      </c>
      <c r="B47" s="13">
        <f>SUMIFS('Stock In-out'!D:D,'Stock In-out'!B:B,"Opening Stock",'Stock In-out'!A:A,'Stock In-out'!A47)</f>
        <v>39</v>
      </c>
      <c r="C47" s="13">
        <f>SUMIFS('Stock In-out'!E:E,'Stock In-out'!C:C,"In",'Stock In-out'!B:B,'Stock In-out'!B47)</f>
        <v>0</v>
      </c>
      <c r="D47" s="13">
        <f>SUMIFS('Stock In-out'!D:D,'Stock In-out'!B:B,"Out",'Stock In-out'!A:A,'Stock In-out'!A47)</f>
        <v>0</v>
      </c>
      <c r="E47" s="13">
        <f t="shared" si="0"/>
        <v>39</v>
      </c>
      <c r="F47" s="14">
        <f>VLOOKUP(A47,'Product Details'!A:C,3,0)*Inventory!E47</f>
        <v>662.6099999999999</v>
      </c>
      <c r="G47" s="14">
        <f>VLOOKUP(A47,'Product Details'!A:C,2,0)*Inventory!E47</f>
        <v>389.61</v>
      </c>
      <c r="H47" s="13">
        <f>VLOOKUP(A47,Table1[#All],6,0)</f>
        <v>7</v>
      </c>
      <c r="I47" s="13" t="str">
        <f t="shared" si="1"/>
        <v>No</v>
      </c>
      <c r="J47" s="13">
        <f>VLOOKUP(A47,Table1[#All],5,0)</f>
        <v>15</v>
      </c>
    </row>
    <row r="48" spans="1:10" ht="15" customHeight="1" x14ac:dyDescent="0.3">
      <c r="A48" s="8" t="s">
        <v>52</v>
      </c>
      <c r="B48" s="13">
        <f>SUMIFS('Stock In-out'!D:D,'Stock In-out'!B:B,"Opening Stock",'Stock In-out'!A:A,'Stock In-out'!A48)</f>
        <v>32</v>
      </c>
      <c r="C48" s="13">
        <f>SUMIFS('Stock In-out'!E:E,'Stock In-out'!C:C,"In",'Stock In-out'!B:B,'Stock In-out'!B48)</f>
        <v>0</v>
      </c>
      <c r="D48" s="13">
        <f>SUMIFS('Stock In-out'!D:D,'Stock In-out'!B:B,"Out",'Stock In-out'!A:A,'Stock In-out'!A48)</f>
        <v>0</v>
      </c>
      <c r="E48" s="13">
        <f t="shared" si="0"/>
        <v>32</v>
      </c>
      <c r="F48" s="14">
        <f>VLOOKUP(A48,'Product Details'!A:C,3,0)*Inventory!E48</f>
        <v>479.68</v>
      </c>
      <c r="G48" s="14">
        <f>VLOOKUP(A48,'Product Details'!A:C,2,0)*Inventory!E48</f>
        <v>351.68</v>
      </c>
      <c r="H48" s="13">
        <f>VLOOKUP(A48,Table1[#All],6,0)</f>
        <v>7</v>
      </c>
      <c r="I48" s="13" t="str">
        <f t="shared" si="1"/>
        <v>No</v>
      </c>
      <c r="J48" s="13">
        <f>VLOOKUP(A48,Table1[#All],5,0)</f>
        <v>4</v>
      </c>
    </row>
    <row r="49" spans="1:10" ht="15" customHeight="1" x14ac:dyDescent="0.3">
      <c r="A49" s="8" t="s">
        <v>53</v>
      </c>
      <c r="B49" s="13">
        <f>SUMIFS('Stock In-out'!D:D,'Stock In-out'!B:B,"Opening Stock",'Stock In-out'!A:A,'Stock In-out'!A49)</f>
        <v>44</v>
      </c>
      <c r="C49" s="13">
        <f>SUMIFS('Stock In-out'!E:E,'Stock In-out'!C:C,"In",'Stock In-out'!B:B,'Stock In-out'!B49)</f>
        <v>0</v>
      </c>
      <c r="D49" s="13">
        <f>SUMIFS('Stock In-out'!D:D,'Stock In-out'!B:B,"Out",'Stock In-out'!A:A,'Stock In-out'!A49)</f>
        <v>0</v>
      </c>
      <c r="E49" s="13">
        <f t="shared" si="0"/>
        <v>44</v>
      </c>
      <c r="F49" s="14">
        <f>VLOOKUP(A49,'Product Details'!A:C,3,0)*Inventory!E49</f>
        <v>527.56000000000006</v>
      </c>
      <c r="G49" s="14">
        <f>VLOOKUP(A49,'Product Details'!A:C,2,0)*Inventory!E49</f>
        <v>351.56</v>
      </c>
      <c r="H49" s="13">
        <f>VLOOKUP(A49,Table1[#All],6,0)</f>
        <v>7</v>
      </c>
      <c r="I49" s="13" t="str">
        <f t="shared" si="1"/>
        <v>No</v>
      </c>
      <c r="J49" s="13">
        <f>VLOOKUP(A49,Table1[#All],5,0)</f>
        <v>3</v>
      </c>
    </row>
    <row r="50" spans="1:10" ht="15" customHeight="1" x14ac:dyDescent="0.3">
      <c r="A50" s="8" t="s">
        <v>54</v>
      </c>
      <c r="B50" s="13">
        <f>SUMIFS('Stock In-out'!D:D,'Stock In-out'!B:B,"Opening Stock",'Stock In-out'!A:A,'Stock In-out'!A50)</f>
        <v>39</v>
      </c>
      <c r="C50" s="13">
        <f>SUMIFS('Stock In-out'!E:E,'Stock In-out'!C:C,"In",'Stock In-out'!B:B,'Stock In-out'!B50)</f>
        <v>0</v>
      </c>
      <c r="D50" s="13">
        <f>SUMIFS('Stock In-out'!D:D,'Stock In-out'!B:B,"Out",'Stock In-out'!A:A,'Stock In-out'!A50)</f>
        <v>0</v>
      </c>
      <c r="E50" s="13">
        <f t="shared" si="0"/>
        <v>39</v>
      </c>
      <c r="F50" s="14">
        <f>VLOOKUP(A50,'Product Details'!A:C,3,0)*Inventory!E50</f>
        <v>584.61</v>
      </c>
      <c r="G50" s="14">
        <f>VLOOKUP(A50,'Product Details'!A:C,2,0)*Inventory!E50</f>
        <v>350.61</v>
      </c>
      <c r="H50" s="13">
        <f>VLOOKUP(A50,Table1[#All],6,0)</f>
        <v>6</v>
      </c>
      <c r="I50" s="13" t="str">
        <f t="shared" si="1"/>
        <v>No</v>
      </c>
      <c r="J50" s="13">
        <f>VLOOKUP(A50,Table1[#All],5,0)</f>
        <v>10</v>
      </c>
    </row>
    <row r="51" spans="1:10" ht="15" customHeight="1" x14ac:dyDescent="0.3">
      <c r="A51" s="8" t="s">
        <v>55</v>
      </c>
      <c r="B51" s="13">
        <f>SUMIFS('Stock In-out'!D:D,'Stock In-out'!B:B,"Opening Stock",'Stock In-out'!A:A,'Stock In-out'!A51)</f>
        <v>20</v>
      </c>
      <c r="C51" s="13">
        <f>SUMIFS('Stock In-out'!E:E,'Stock In-out'!C:C,"In",'Stock In-out'!B:B,'Stock In-out'!B51)</f>
        <v>0</v>
      </c>
      <c r="D51" s="13">
        <f>SUMIFS('Stock In-out'!D:D,'Stock In-out'!B:B,"Out",'Stock In-out'!A:A,'Stock In-out'!A51)</f>
        <v>0</v>
      </c>
      <c r="E51" s="13">
        <f t="shared" si="0"/>
        <v>20</v>
      </c>
      <c r="F51" s="14">
        <f>VLOOKUP(A51,'Product Details'!A:C,3,0)*Inventory!E51</f>
        <v>199.8</v>
      </c>
      <c r="G51" s="14">
        <f>VLOOKUP(A51,'Product Details'!A:C,2,0)*Inventory!E51</f>
        <v>99.800000000000011</v>
      </c>
      <c r="H51" s="13">
        <f>VLOOKUP(A51,Table1[#All],6,0)</f>
        <v>7</v>
      </c>
      <c r="I51" s="13" t="str">
        <f t="shared" si="1"/>
        <v>No</v>
      </c>
      <c r="J51" s="13">
        <f>VLOOKUP(A51,Table1[#All],5,0)</f>
        <v>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Inventory Management System</vt:lpstr>
      <vt:lpstr>Support</vt:lpstr>
      <vt:lpstr>Product Details</vt:lpstr>
      <vt:lpstr>Stock In-out</vt:lpstr>
      <vt:lpstr>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 Pham Thi Thu</dc:creator>
  <cp:lastModifiedBy>Ha Pham Thi Thu</cp:lastModifiedBy>
  <dcterms:created xsi:type="dcterms:W3CDTF">2023-01-09T19:12:14Z</dcterms:created>
  <dcterms:modified xsi:type="dcterms:W3CDTF">2023-01-10T01:35:28Z</dcterms:modified>
</cp:coreProperties>
</file>